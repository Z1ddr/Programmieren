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ktplan" sheetId="1" state="visible" r:id="rId3"/>
    <sheet name="Info" sheetId="2" state="visible" r:id="rId4"/>
  </sheets>
  <definedNames>
    <definedName function="false" hidden="false" localSheetId="0" name="_xlnm.Print_Titles" vbProcedure="false">Projektplan!$4:$6</definedName>
    <definedName function="false" hidden="false" name="Anzeigewoche" vbProcedure="false">Projektplan!$E$4</definedName>
    <definedName function="false" hidden="false" name="Projektanfang" vbProcedure="false">Projektplan!$E$3</definedName>
    <definedName function="false" hidden="false" localSheetId="0" name="Heute" vbProcedure="false">TODAY()</definedName>
    <definedName function="false" hidden="false" localSheetId="0" name="task_end" vbProcedure="false">Projektplan!$F1</definedName>
    <definedName function="false" hidden="false" localSheetId="0" name="task_progress" vbProcedure="false">Projektplan!$D1</definedName>
    <definedName function="false" hidden="false" localSheetId="0" name="task_start" vbProcedure="false">Projektplan!$E1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<sst xmlns="http://schemas.openxmlformats.org/spreadsheetml/2006/main" count="75" uniqueCount="68">
  <si>
    <t xml:space="preserve">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</si>
  <si>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 xml:space="preserve">Social Intranet Lösung für Allgold Premium Molkerei</t>
  </si>
  <si>
    <t xml:space="preserve">Geben Sie den Firmennamen in Zelle B2 ein.</t>
  </si>
  <si>
    <t xml:space="preserve">Firmenname</t>
  </si>
  <si>
    <t xml:space="preserve">Allgold Premium Molkerei</t>
  </si>
  <si>
    <t xml:space="preserve">Geben Sie den Namen des Projektleiters in Zelle B3 ein. Geben Sie das Startdatum für das Projekt in Zelle E3 ein. Start des Projekts: Die Bezeichnung steht in Zelle C3.</t>
  </si>
  <si>
    <t xml:space="preserve">Projektleiter</t>
  </si>
  <si>
    <t xml:space="preserve">Projektanfang:</t>
  </si>
  <si>
    <t xml:space="preserve">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</si>
  <si>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 xml:space="preserve">Anzeigewoche:</t>
  </si>
  <si>
    <t xml:space="preserve">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</si>
  <si>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 xml:space="preserve">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</si>
  <si>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AUFGABE</t>
  </si>
  <si>
    <t xml:space="preserve">ZUGEWIESEN
AN</t>
  </si>
  <si>
    <t xml:space="preserve">FORTSCHRITT</t>
  </si>
  <si>
    <t xml:space="preserve">START</t>
  </si>
  <si>
    <t xml:space="preserve">ENDE</t>
  </si>
  <si>
    <t xml:space="preserve">TAGE</t>
  </si>
  <si>
    <t xml:space="preserve">Löschen Sie diese Zeile nicht. Diese Zeile ist ausgeblendet, um eine Formel zu schützen, die zum Hervorheben des aktuellen Tags im Projektzeitplan verwendet wird. </t>
  </si>
  <si>
    <t xml:space="preserve">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</si>
  <si>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Projektstart</t>
  </si>
  <si>
    <t xml:space="preserve">Geschäftsführung + Projektteam</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</si>
  <si>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</si>
  <si>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 xml:space="preserve">Projektziele klären &amp; Team organisieren</t>
  </si>
  <si>
    <t xml:space="preserve">Ist-Analyse Kommunikation &amp; Prozesse</t>
  </si>
  <si>
    <t xml:space="preserve">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</si>
  <si>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 xml:space="preserve">Anforderungen</t>
  </si>
  <si>
    <t xml:space="preserve">Fachabteilungen + Projektteam</t>
  </si>
  <si>
    <t xml:space="preserve">Anforderungen sammeln (Workshops mit Abteilungen)</t>
  </si>
  <si>
    <t xml:space="preserve">Use Cases &amp; grobes Konzept</t>
  </si>
  <si>
    <t xml:space="preserve">Titelblock für Beispielphase</t>
  </si>
  <si>
    <t xml:space="preserve">Softwareauswahl</t>
  </si>
  <si>
    <t xml:space="preserve">Projektteam + IT-Abteilung + Geschäftsführung</t>
  </si>
  <si>
    <t xml:space="preserve">Anbieter vergleichen &amp; Angebote bewerten</t>
  </si>
  <si>
    <t xml:space="preserve">Demos testen &amp; Entscheidung treffen</t>
  </si>
  <si>
    <t xml:space="preserve">Einführungsvorbereitung</t>
  </si>
  <si>
    <t xml:space="preserve">IT-Abteilung + Personalabteilung</t>
  </si>
  <si>
    <t xml:space="preserve">Infrastruktur/Cloud einrichten</t>
  </si>
  <si>
    <t xml:space="preserve">Benutzen &amp; Entscheidung treffen</t>
  </si>
  <si>
    <t xml:space="preserve">Umsetzung</t>
  </si>
  <si>
    <t xml:space="preserve">IT-Abteilung + Verwaltung</t>
  </si>
  <si>
    <t xml:space="preserve">Intranet-Struktur erstellen (Startseite, Menüs)</t>
  </si>
  <si>
    <t xml:space="preserve">Inhalte einpflegen (News, Dokumente FAQ, Formulare)</t>
  </si>
  <si>
    <t xml:space="preserve">Testphase</t>
  </si>
  <si>
    <t xml:space="preserve">Alle Abteilungen</t>
  </si>
  <si>
    <t xml:space="preserve">Pilotbetrieb mit 10-15 Mitarbeitenden</t>
  </si>
  <si>
    <t xml:space="preserve">Fehlerbehebung &amp; letzte Anpassungen</t>
  </si>
  <si>
    <t xml:space="preserve">Einführung</t>
  </si>
  <si>
    <t xml:space="preserve">Personalabteilung + IT-Abteilung</t>
  </si>
  <si>
    <t xml:space="preserve">Schulung der Mitarbeitenden</t>
  </si>
  <si>
    <t xml:space="preserve">Rollout im Unternehmen</t>
  </si>
  <si>
    <t xml:space="preserve">Abschluss</t>
  </si>
  <si>
    <t xml:space="preserve">Feedbackrunde &amp; Optimierung</t>
  </si>
  <si>
    <t xml:space="preserve">EINFACHES GANTT-DIAGRAMM von Vertex42.com</t>
  </si>
  <si>
    <t xml:space="preserve">https://www.vertex42.com/ExcelTemplates/simple-gantt-chart.html</t>
  </si>
  <si>
    <t xml:space="preserve">Über diese Vorlage</t>
  </si>
  <si>
    <t xml:space="preserve">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</si>
  <si>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 xml:space="preserve">Leitfaden für die Sprachausgabe</t>
  </si>
  <si>
    <t xml:space="preserve">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</si>
  <si>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 xml:space="preserve">Weitere Hilfe</t>
  </si>
  <si>
    <t xml:space="preserve">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</si>
  <si>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 xml:space="preserve">Verwenden des einfachen Gantt-Diagramms</t>
  </si>
  <si>
    <t xml:space="preserve">Weitere Projektmanagementvorlagen</t>
  </si>
  <si>
    <t xml:space="preserve">Rufen Sie Vertex42.com auf, um weitere Projektmanagementvorlagen herunterzuladen, einschließlich unterschiedlicher Typen von Projektplänen, Gantt-Diagramme, Aufgabenlisten usw.</t>
  </si>
  <si>
    <t xml:space="preserve">Projektmanagementvorlagen</t>
  </si>
  <si>
    <t xml:space="preserve">Informationen zu Vertex42</t>
  </si>
  <si>
    <t xml:space="preserve">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</si>
  <si>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 xml:space="preserve">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</si>
</sst>
</file>

<file path=xl/styles.xml><?xml version="1.0" encoding="utf-8"?>
<styleSheet xmlns="http://schemas.openxmlformats.org/spreadsheetml/2006/main">
  <numFmts count="7">
    <numFmt numFmtId="164" formatCode="General"/>
    <numFmt numFmtId="165" formatCode="d/m/yy;@"/>
    <numFmt numFmtId="166" formatCode="ddd&quot;, &quot;d/m/yyyy"/>
    <numFmt numFmtId="167" formatCode="d/\ mmm\ yyyy"/>
    <numFmt numFmtId="168" formatCode="d"/>
    <numFmt numFmtId="169" formatCode="0\ %"/>
    <numFmt numFmtId="170" formatCode="d\.m\.yy;@"/>
  </numFmts>
  <fonts count="26">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b val="true"/>
      <sz val="22"/>
      <color theme="1" tint="0.3499"/>
      <name val="Calibri"/>
      <family val="2"/>
      <charset val="1"/>
    </font>
    <font>
      <b val="true"/>
      <sz val="20"/>
      <color theme="4" tint="-0.25"/>
      <name val="Calibri"/>
      <family val="2"/>
      <charset val="1"/>
    </font>
    <font>
      <sz val="10"/>
      <name val="Calibri"/>
      <family val="2"/>
      <charset val="1"/>
    </font>
    <font>
      <b val="true"/>
      <sz val="11"/>
      <name val="Calibri"/>
      <family val="2"/>
      <charset val="1"/>
    </font>
    <font>
      <sz val="14"/>
      <color theme="1"/>
      <name val="Calibri"/>
      <family val="2"/>
      <charset val="1"/>
    </font>
    <font>
      <u val="single"/>
      <sz val="11"/>
      <color rgb="FF0000FF"/>
      <name val="Arial"/>
      <family val="2"/>
      <charset val="1"/>
    </font>
    <font>
      <sz val="10"/>
      <name val="Arial"/>
      <family val="2"/>
      <charset val="1"/>
    </font>
    <font>
      <sz val="9"/>
      <name val="Calibri"/>
      <family val="2"/>
      <charset val="1"/>
    </font>
    <font>
      <b val="true"/>
      <sz val="9"/>
      <color theme="0"/>
      <name val="Calibri"/>
      <family val="2"/>
      <charset val="1"/>
    </font>
    <font>
      <sz val="8"/>
      <color theme="0"/>
      <name val="Calibri"/>
      <family val="2"/>
      <charset val="1"/>
    </font>
    <font>
      <b val="true"/>
      <sz val="11"/>
      <color theme="1"/>
      <name val="Calibri"/>
      <family val="2"/>
      <charset val="1"/>
    </font>
    <font>
      <sz val="11"/>
      <name val="Calibri"/>
      <family val="2"/>
      <charset val="1"/>
    </font>
    <font>
      <u val="single"/>
      <sz val="11"/>
      <color theme="1"/>
      <name val="Calibri"/>
      <family val="2"/>
      <charset val="1"/>
    </font>
    <font>
      <u val="single"/>
      <sz val="11"/>
      <name val="Calibri"/>
      <family val="2"/>
      <charset val="1"/>
    </font>
    <font>
      <b val="true"/>
      <sz val="12"/>
      <color theme="1" tint="0.3499"/>
      <name val="Calibri"/>
      <family val="2"/>
      <charset val="1"/>
    </font>
    <font>
      <b val="true"/>
      <sz val="10"/>
      <name val="Calibri"/>
      <family val="2"/>
      <charset val="1"/>
    </font>
    <font>
      <sz val="11"/>
      <color rgb="FF0000FF"/>
      <name val="Calibri"/>
      <family val="2"/>
      <charset val="1"/>
    </font>
    <font>
      <sz val="11"/>
      <color theme="1" tint="0.4999"/>
      <name val="Calibri"/>
      <family val="2"/>
      <charset val="1"/>
    </font>
    <font>
      <b val="true"/>
      <sz val="16"/>
      <color theme="4" tint="-0.25"/>
      <name val="Calibri"/>
      <family val="2"/>
      <charset val="1"/>
    </font>
    <font>
      <sz val="20"/>
      <name val="Calibri"/>
      <family val="2"/>
      <charset val="1"/>
    </font>
    <font>
      <sz val="11"/>
      <color rgb="FF1D2129"/>
      <name val="Calibri"/>
      <family val="2"/>
      <charset val="1"/>
    </font>
  </fonts>
  <fills count="19">
    <fill>
      <patternFill patternType="none"/>
    </fill>
    <fill>
      <patternFill patternType="gray125"/>
    </fill>
    <fill>
      <patternFill patternType="solid">
        <fgColor theme="0" tint="-0.15"/>
        <bgColor rgb="FFDDD9C3"/>
      </patternFill>
    </fill>
    <fill>
      <patternFill patternType="solid">
        <fgColor theme="1" tint="0.3499"/>
        <bgColor rgb="FF376092"/>
      </patternFill>
    </fill>
    <fill>
      <patternFill patternType="solid">
        <fgColor rgb="FFB4C7DC"/>
        <bgColor rgb="FFCCC1DA"/>
      </patternFill>
    </fill>
    <fill>
      <patternFill patternType="solid">
        <fgColor rgb="FFDEE6EF"/>
        <bgColor rgb="FFE6E0EC"/>
      </patternFill>
    </fill>
    <fill>
      <patternFill patternType="solid">
        <fgColor theme="5" tint="0.5999"/>
        <bgColor rgb="FFCCC1DA"/>
      </patternFill>
    </fill>
    <fill>
      <patternFill patternType="solid">
        <fgColor theme="5" tint="0.7999"/>
        <bgColor rgb="FFE6E0EC"/>
      </patternFill>
    </fill>
    <fill>
      <patternFill patternType="solid">
        <fgColor theme="6" tint="0.5999"/>
        <bgColor rgb="FFDDD9C3"/>
      </patternFill>
    </fill>
    <fill>
      <patternFill patternType="solid">
        <fgColor theme="6" tint="0.7999"/>
        <bgColor rgb="FFF2F2F2"/>
      </patternFill>
    </fill>
    <fill>
      <patternFill patternType="solid">
        <fgColor theme="7" tint="0.5999"/>
        <bgColor rgb="FFB4C7DC"/>
      </patternFill>
    </fill>
    <fill>
      <patternFill patternType="solid">
        <fgColor theme="7" tint="0.7999"/>
        <bgColor rgb="FFDEE6EF"/>
      </patternFill>
    </fill>
    <fill>
      <patternFill patternType="solid">
        <fgColor theme="9" tint="0.5999"/>
        <bgColor rgb="FFF2DCDB"/>
      </patternFill>
    </fill>
    <fill>
      <patternFill patternType="solid">
        <fgColor theme="9" tint="0.7999"/>
        <bgColor rgb="FFEBF1DE"/>
      </patternFill>
    </fill>
    <fill>
      <patternFill patternType="solid">
        <fgColor theme="2" tint="-0.25"/>
        <bgColor rgb="FFC3D69B"/>
      </patternFill>
    </fill>
    <fill>
      <patternFill patternType="solid">
        <fgColor theme="2" tint="-0.1"/>
        <bgColor rgb="FFD9D9D9"/>
      </patternFill>
    </fill>
    <fill>
      <patternFill patternType="solid">
        <fgColor theme="0" tint="-0.05"/>
        <bgColor rgb="FFEBF1DE"/>
      </patternFill>
    </fill>
    <fill>
      <patternFill patternType="solid">
        <fgColor theme="6" tint="-0.25"/>
        <bgColor rgb="FF7F7F7F"/>
      </patternFill>
    </fill>
    <fill>
      <patternFill patternType="solid">
        <fgColor theme="6" tint="0.3999"/>
        <bgColor rgb="FFD7E4BD"/>
      </patternFill>
    </fill>
  </fills>
  <borders count="10">
    <border diagonalUp="false" diagonalDown="false">
      <left/>
      <right/>
      <top/>
      <bottom/>
      <diagonal/>
    </border>
    <border diagonalUp="false" diagonalDown="false">
      <left/>
      <right/>
      <top style="medium">
        <color theme="0" tint="-0.15"/>
      </top>
      <bottom style="medium">
        <color theme="0" tint="-0.1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right style="thin">
        <color theme="0" tint="-0.35"/>
      </right>
      <top/>
      <bottom/>
      <diagonal/>
    </border>
    <border diagonalUp="false" diagonalDown="false">
      <left style="thin">
        <color theme="0" tint="-0.35"/>
      </left>
      <right style="thin">
        <color theme="0" tint="-0.35"/>
      </right>
      <top style="thin">
        <color theme="0" tint="-0.35"/>
      </top>
      <bottom/>
      <diagonal/>
    </border>
    <border diagonalUp="false" diagonalDown="false">
      <left/>
      <right/>
      <top/>
      <bottom style="thin">
        <color theme="0" tint="-0.35"/>
      </bottom>
      <diagonal/>
    </border>
    <border diagonalUp="false" diagonalDown="false">
      <left style="thin">
        <color theme="0" tint="-0.35"/>
      </left>
      <right/>
      <top/>
      <bottom/>
      <diagonal/>
    </border>
    <border diagonalUp="false" diagonalDown="false">
      <left/>
      <right/>
      <top style="thin">
        <color theme="0" tint="-0.35"/>
      </top>
      <bottom/>
      <diagonal/>
    </border>
    <border diagonalUp="false" diagonalDown="false">
      <left style="thin">
        <color theme="0" tint="-0.35"/>
      </left>
      <right style="thin">
        <color theme="0" tint="-0.35"/>
      </right>
      <top/>
      <bottom style="medium">
        <color theme="0" tint="-0.15"/>
      </bottom>
      <diagonal/>
    </border>
    <border diagonalUp="false" diagonalDown="false">
      <left style="thin">
        <color theme="0" tint="-0.15"/>
      </left>
      <right style="thin">
        <color theme="0" tint="-0.15"/>
      </right>
      <top style="medium">
        <color theme="0" tint="-0.15"/>
      </top>
      <bottom style="medium">
        <color theme="0" tint="-0.15"/>
      </bottom>
      <diagonal/>
    </border>
  </borders>
  <cellStyleXfs count="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0" fillId="0" borderId="1" applyFont="true" applyBorder="true" applyAlignment="true" applyProtection="true">
      <alignment horizontal="left" vertical="center" textRotation="0" wrapText="false" indent="2" shrinkToFit="false"/>
      <protection locked="true" hidden="false"/>
    </xf>
    <xf numFmtId="165" fontId="0" fillId="0" borderId="1" applyFont="true" applyBorder="true" applyAlignment="true" applyProtection="true">
      <alignment horizontal="center" vertical="center" textRotation="0" wrapText="false" indent="0" shrinkToFit="false"/>
      <protection locked="true" hidden="false"/>
    </xf>
    <xf numFmtId="164" fontId="0" fillId="0" borderId="1" applyFont="true" applyBorder="true" applyAlignment="true" applyProtection="true">
      <alignment horizontal="center" vertical="center" textRotation="0" wrapText="false" indent="0" shrinkToFit="false"/>
      <protection locked="true" hidden="false"/>
    </xf>
    <xf numFmtId="166" fontId="0" fillId="0" borderId="2" applyFont="true" applyBorder="true" applyAlignment="true" applyProtection="true">
      <alignment horizontal="center"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true" applyProtection="false">
      <alignment horizontal="general" vertical="bottom" textRotation="0" wrapText="false" indent="0" shrinkToFit="false"/>
    </xf>
    <xf numFmtId="164" fontId="9" fillId="0" borderId="0" applyFont="true" applyBorder="true" applyAlignment="true" applyProtection="false">
      <alignment horizontal="general" vertical="bottom" textRotation="0" wrapText="false" indent="0" shrinkToFit="false"/>
    </xf>
    <xf numFmtId="164" fontId="9" fillId="0" borderId="0" applyFont="true" applyBorder="true" applyAlignment="true" applyProtection="false">
      <alignment horizontal="general" vertical="top" textRotation="0" wrapText="false" indent="0" shrinkToFit="false"/>
    </xf>
    <xf numFmtId="164" fontId="0" fillId="0" borderId="0" applyFont="true" applyBorder="true" applyAlignment="true" applyProtection="false">
      <alignment horizontal="right" vertical="bottom" textRotation="0" wrapText="false" indent="1" shrinkToFit="false"/>
    </xf>
  </cellStyleXfs>
  <cellXfs count="1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5"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0" borderId="0" xfId="25" applyFont="true" applyBorder="false" applyAlignment="true" applyProtection="true">
      <alignment horizontal="general" vertical="bottom" textRotation="0" wrapText="true" indent="0" shrinkToFit="false"/>
      <protection locked="true" hidden="false"/>
    </xf>
    <xf numFmtId="164" fontId="5" fillId="0" borderId="0" xfId="26"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27"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1" fillId="0" borderId="0" xfId="20" applyFont="true" applyBorder="true" applyAlignment="true" applyProtection="true">
      <alignment horizontal="general" vertical="top" textRotation="0" wrapText="false" indent="0" shrinkToFit="false"/>
      <protection locked="true" hidden="false"/>
    </xf>
    <xf numFmtId="164" fontId="9" fillId="0" borderId="0" xfId="28" applyFont="true" applyBorder="false" applyAlignment="true" applyProtection="true">
      <alignment horizontal="general" vertical="top" textRotation="0" wrapText="false" indent="0" shrinkToFit="false"/>
      <protection locked="true" hidden="false"/>
    </xf>
    <xf numFmtId="164" fontId="0" fillId="0" borderId="3" xfId="29" applyFont="true" applyBorder="true" applyAlignment="true" applyProtection="true">
      <alignment horizontal="right" vertical="bottom" textRotation="0" wrapText="false" indent="1" shrinkToFit="false"/>
      <protection locked="true" hidden="false"/>
    </xf>
    <xf numFmtId="166" fontId="0" fillId="0" borderId="2" xfId="24" applyFont="tru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center" vertical="center" textRotation="0" wrapText="false" indent="0" shrinkToFit="false"/>
      <protection locked="true" hidden="false"/>
    </xf>
    <xf numFmtId="167" fontId="0" fillId="2" borderId="4" xfId="0" applyFont="false" applyBorder="true" applyAlignment="true" applyProtection="true">
      <alignment horizontal="left" vertical="center" textRotation="0" wrapText="true" indent="1"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8" fontId="12" fillId="2" borderId="6" xfId="0" applyFont="true" applyBorder="true" applyAlignment="true" applyProtection="true">
      <alignment horizontal="center" vertical="center" textRotation="0" wrapText="false" indent="0" shrinkToFit="false"/>
      <protection locked="true" hidden="false"/>
    </xf>
    <xf numFmtId="168" fontId="12" fillId="2" borderId="0" xfId="0" applyFont="true" applyBorder="false" applyAlignment="true" applyProtection="true">
      <alignment horizontal="center" vertical="center" textRotation="0" wrapText="false" indent="0" shrinkToFit="false"/>
      <protection locked="true" hidden="false"/>
    </xf>
    <xf numFmtId="168" fontId="12" fillId="2" borderId="3" xfId="0" applyFont="true" applyBorder="true" applyAlignment="true" applyProtection="true">
      <alignment horizontal="center" vertical="center" textRotation="0" wrapText="false" indent="0" shrinkToFit="false"/>
      <protection locked="true" hidden="false"/>
    </xf>
    <xf numFmtId="164" fontId="13" fillId="3" borderId="7" xfId="0" applyFont="true" applyBorder="true" applyAlignment="true" applyProtection="true">
      <alignment horizontal="left" vertical="center" textRotation="0" wrapText="false" indent="1" shrinkToFit="false"/>
      <protection locked="true" hidden="false"/>
    </xf>
    <xf numFmtId="164" fontId="13" fillId="3" borderId="7" xfId="0" applyFont="true" applyBorder="true" applyAlignment="true" applyProtection="true">
      <alignment horizontal="center" vertical="center" textRotation="0" wrapText="true" indent="0" shrinkToFit="false"/>
      <protection locked="true" hidden="false"/>
    </xf>
    <xf numFmtId="164" fontId="14" fillId="3" borderId="8"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9" xfId="0" applyFont="false" applyBorder="true" applyAlignment="true" applyProtection="true">
      <alignment horizontal="general" vertical="center" textRotation="0" wrapText="false" indent="0" shrinkToFit="false"/>
      <protection locked="true" hidden="false"/>
    </xf>
    <xf numFmtId="164" fontId="15" fillId="4" borderId="1" xfId="0" applyFont="true" applyBorder="true" applyAlignment="true" applyProtection="true">
      <alignment horizontal="left" vertical="center" textRotation="0" wrapText="false" indent="1" shrinkToFit="false"/>
      <protection locked="true" hidden="false"/>
    </xf>
    <xf numFmtId="164" fontId="0" fillId="4" borderId="1" xfId="23" applyFont="true" applyBorder="true" applyAlignment="true" applyProtection="true">
      <alignment horizontal="center" vertical="center" textRotation="0" wrapText="false" indent="0" shrinkToFit="false"/>
      <protection locked="true" hidden="false"/>
    </xf>
    <xf numFmtId="169" fontId="16" fillId="4" borderId="1" xfId="19" applyFont="true" applyBorder="true" applyAlignment="true" applyProtection="true">
      <alignment horizontal="center" vertical="center" textRotation="0" wrapText="false" indent="0" shrinkToFit="false"/>
      <protection locked="true" hidden="false"/>
    </xf>
    <xf numFmtId="170" fontId="0" fillId="4" borderId="1" xfId="0" applyFont="false" applyBorder="true" applyAlignment="true" applyProtection="true">
      <alignment horizontal="center" vertical="center" textRotation="0" wrapText="false" indent="0" shrinkToFit="false"/>
      <protection locked="true" hidden="false"/>
    </xf>
    <xf numFmtId="170" fontId="16" fillId="4" borderId="1" xfId="0" applyFont="true" applyBorder="true" applyAlignment="true" applyProtection="true">
      <alignment horizontal="center" vertical="center" textRotation="0" wrapText="false" indent="0" shrinkToFit="false"/>
      <protection locked="true" hidden="false"/>
    </xf>
    <xf numFmtId="164" fontId="16" fillId="4" borderId="1" xfId="0" applyFont="true" applyBorder="true" applyAlignment="true" applyProtection="true">
      <alignment horizontal="center" vertical="center" textRotation="0" wrapText="false" indent="0" shrinkToFit="false"/>
      <protection locked="true" hidden="false"/>
    </xf>
    <xf numFmtId="164" fontId="0" fillId="4" borderId="9" xfId="0" applyFont="fals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7" fillId="5" borderId="1" xfId="21" applyFont="true" applyBorder="true" applyAlignment="true" applyProtection="true">
      <alignment horizontal="left" vertical="center" textRotation="0" wrapText="false" indent="2" shrinkToFit="false"/>
      <protection locked="true" hidden="false"/>
    </xf>
    <xf numFmtId="164" fontId="17" fillId="5" borderId="1" xfId="23" applyFont="true" applyBorder="true" applyAlignment="true" applyProtection="true">
      <alignment horizontal="center" vertical="center" textRotation="0" wrapText="false" indent="0" shrinkToFit="false"/>
      <protection locked="true" hidden="false"/>
    </xf>
    <xf numFmtId="169" fontId="18" fillId="5" borderId="1" xfId="19" applyFont="true" applyBorder="true" applyAlignment="true" applyProtection="true">
      <alignment horizontal="center" vertical="center" textRotation="0" wrapText="false" indent="0" shrinkToFit="false"/>
      <protection locked="true" hidden="false"/>
    </xf>
    <xf numFmtId="170" fontId="17" fillId="5" borderId="1" xfId="22" applyFont="true" applyBorder="true" applyAlignment="true" applyProtection="true">
      <alignment horizontal="center" vertical="center" textRotation="0" wrapText="false" indent="0" shrinkToFit="false"/>
      <protection locked="true" hidden="false"/>
    </xf>
    <xf numFmtId="164" fontId="18" fillId="5" borderId="1" xfId="0" applyFont="true" applyBorder="true" applyAlignment="true" applyProtection="true">
      <alignment horizontal="center" vertical="center" textRotation="0" wrapText="false" indent="0" shrinkToFit="false"/>
      <protection locked="true" hidden="false"/>
    </xf>
    <xf numFmtId="164" fontId="17" fillId="5" borderId="9" xfId="0" applyFont="true" applyBorder="true" applyAlignment="true" applyProtection="true">
      <alignment horizontal="general" vertical="center" textRotation="0" wrapText="false" indent="0" shrinkToFit="false"/>
      <protection locked="true" hidden="false"/>
    </xf>
    <xf numFmtId="164" fontId="15" fillId="6" borderId="1" xfId="0" applyFont="true" applyBorder="true" applyAlignment="true" applyProtection="true">
      <alignment horizontal="left" vertical="center" textRotation="0" wrapText="false" indent="1" shrinkToFit="false"/>
      <protection locked="true" hidden="false"/>
    </xf>
    <xf numFmtId="164" fontId="0" fillId="6" borderId="1" xfId="23" applyFont="true" applyBorder="true" applyAlignment="true" applyProtection="true">
      <alignment horizontal="center" vertical="center" textRotation="0" wrapText="false" indent="0" shrinkToFit="false"/>
      <protection locked="true" hidden="false"/>
    </xf>
    <xf numFmtId="169" fontId="16" fillId="6" borderId="1" xfId="19" applyFont="true" applyBorder="true" applyAlignment="true" applyProtection="true">
      <alignment horizontal="center" vertical="center" textRotation="0" wrapText="false" indent="0" shrinkToFit="false"/>
      <protection locked="true" hidden="false"/>
    </xf>
    <xf numFmtId="170" fontId="0" fillId="6" borderId="1" xfId="0" applyFont="false" applyBorder="true" applyAlignment="true" applyProtection="true">
      <alignment horizontal="center" vertical="center" textRotation="0" wrapText="false" indent="0" shrinkToFit="false"/>
      <protection locked="true" hidden="false"/>
    </xf>
    <xf numFmtId="170" fontId="16" fillId="6" borderId="1" xfId="0" applyFont="true" applyBorder="true" applyAlignment="true" applyProtection="true">
      <alignment horizontal="center" vertical="center" textRotation="0" wrapText="false" indent="0" shrinkToFit="false"/>
      <protection locked="true" hidden="false"/>
    </xf>
    <xf numFmtId="164" fontId="16" fillId="6" borderId="1" xfId="0" applyFont="true" applyBorder="true" applyAlignment="true" applyProtection="true">
      <alignment horizontal="center" vertical="center" textRotation="0" wrapText="false" indent="0" shrinkToFit="false"/>
      <protection locked="true" hidden="false"/>
    </xf>
    <xf numFmtId="164" fontId="0" fillId="6" borderId="9" xfId="0" applyFont="false" applyBorder="true" applyAlignment="true" applyProtection="true">
      <alignment horizontal="general" vertical="center" textRotation="0" wrapText="false" indent="0" shrinkToFit="false"/>
      <protection locked="true" hidden="false"/>
    </xf>
    <xf numFmtId="164" fontId="0" fillId="7" borderId="1" xfId="21" applyFont="true" applyBorder="true" applyAlignment="true" applyProtection="true">
      <alignment horizontal="left" vertical="center" textRotation="0" wrapText="false" indent="2" shrinkToFit="false"/>
      <protection locked="true" hidden="false"/>
    </xf>
    <xf numFmtId="164" fontId="0" fillId="7" borderId="1" xfId="23" applyFont="true" applyBorder="true" applyAlignment="true" applyProtection="true">
      <alignment horizontal="center" vertical="center" textRotation="0" wrapText="false" indent="0" shrinkToFit="false"/>
      <protection locked="true" hidden="false"/>
    </xf>
    <xf numFmtId="169" fontId="16" fillId="7" borderId="1" xfId="19" applyFont="true" applyBorder="true" applyAlignment="true" applyProtection="true">
      <alignment horizontal="center" vertical="center" textRotation="0" wrapText="false" indent="0" shrinkToFit="false"/>
      <protection locked="true" hidden="false"/>
    </xf>
    <xf numFmtId="170" fontId="0" fillId="7" borderId="1" xfId="22" applyFont="true" applyBorder="true" applyAlignment="true" applyProtection="true">
      <alignment horizontal="center" vertical="center" textRotation="0" wrapText="false" indent="0" shrinkToFit="false"/>
      <protection locked="true" hidden="false"/>
    </xf>
    <xf numFmtId="164" fontId="16" fillId="7" borderId="1" xfId="0" applyFont="true" applyBorder="true" applyAlignment="true" applyProtection="true">
      <alignment horizontal="center" vertical="center" textRotation="0" wrapText="false" indent="0" shrinkToFit="false"/>
      <protection locked="true" hidden="false"/>
    </xf>
    <xf numFmtId="164" fontId="0" fillId="7" borderId="9" xfId="0" applyFont="false" applyBorder="true" applyAlignment="true" applyProtection="true">
      <alignment horizontal="general" vertical="center" textRotation="0" wrapText="false" indent="0" shrinkToFit="false"/>
      <protection locked="true" hidden="false"/>
    </xf>
    <xf numFmtId="164" fontId="0" fillId="7" borderId="9" xfId="0" applyFont="false" applyBorder="true" applyAlignment="true" applyProtection="true">
      <alignment horizontal="right" vertical="center" textRotation="0" wrapText="false" indent="0" shrinkToFit="false"/>
      <protection locked="true" hidden="false"/>
    </xf>
    <xf numFmtId="164" fontId="15" fillId="8" borderId="1" xfId="0" applyFont="true" applyBorder="true" applyAlignment="true" applyProtection="true">
      <alignment horizontal="left" vertical="center" textRotation="0" wrapText="false" indent="1" shrinkToFit="false"/>
      <protection locked="true" hidden="false"/>
    </xf>
    <xf numFmtId="164" fontId="0" fillId="8" borderId="1" xfId="23" applyFont="true" applyBorder="true" applyAlignment="true" applyProtection="true">
      <alignment horizontal="center" vertical="center" textRotation="0" wrapText="false" indent="0" shrinkToFit="false"/>
      <protection locked="true" hidden="false"/>
    </xf>
    <xf numFmtId="169" fontId="16" fillId="8" borderId="1" xfId="19" applyFont="true" applyBorder="true" applyAlignment="true" applyProtection="true">
      <alignment horizontal="center" vertical="center" textRotation="0" wrapText="false" indent="0" shrinkToFit="false"/>
      <protection locked="true" hidden="false"/>
    </xf>
    <xf numFmtId="170" fontId="0" fillId="8" borderId="1" xfId="0" applyFont="false" applyBorder="true" applyAlignment="true" applyProtection="true">
      <alignment horizontal="center" vertical="center" textRotation="0" wrapText="false" indent="0" shrinkToFit="false"/>
      <protection locked="true" hidden="false"/>
    </xf>
    <xf numFmtId="170" fontId="16" fillId="8" borderId="1" xfId="0" applyFont="true" applyBorder="true" applyAlignment="true" applyProtection="true">
      <alignment horizontal="center" vertical="center" textRotation="0" wrapText="false" indent="0" shrinkToFit="false"/>
      <protection locked="true" hidden="false"/>
    </xf>
    <xf numFmtId="164" fontId="16" fillId="8" borderId="1" xfId="0" applyFont="true" applyBorder="true" applyAlignment="true" applyProtection="true">
      <alignment horizontal="center" vertical="center" textRotation="0" wrapText="false" indent="0" shrinkToFit="false"/>
      <protection locked="true" hidden="false"/>
    </xf>
    <xf numFmtId="164" fontId="0" fillId="8" borderId="9" xfId="0" applyFont="false" applyBorder="true" applyAlignment="true" applyProtection="true">
      <alignment horizontal="general" vertical="center" textRotation="0" wrapText="false" indent="0" shrinkToFit="false"/>
      <protection locked="true" hidden="false"/>
    </xf>
    <xf numFmtId="164" fontId="0" fillId="9" borderId="1" xfId="21" applyFont="true" applyBorder="true" applyAlignment="true" applyProtection="true">
      <alignment horizontal="left" vertical="center" textRotation="0" wrapText="false" indent="2" shrinkToFit="false"/>
      <protection locked="true" hidden="false"/>
    </xf>
    <xf numFmtId="164" fontId="0" fillId="9" borderId="1" xfId="23" applyFont="true" applyBorder="true" applyAlignment="true" applyProtection="true">
      <alignment horizontal="center" vertical="center" textRotation="0" wrapText="false" indent="0" shrinkToFit="false"/>
      <protection locked="true" hidden="false"/>
    </xf>
    <xf numFmtId="169" fontId="16" fillId="9" borderId="1" xfId="19" applyFont="true" applyBorder="true" applyAlignment="true" applyProtection="true">
      <alignment horizontal="center" vertical="center" textRotation="0" wrapText="false" indent="0" shrinkToFit="false"/>
      <protection locked="true" hidden="false"/>
    </xf>
    <xf numFmtId="170" fontId="0" fillId="9" borderId="1" xfId="22" applyFont="true" applyBorder="true" applyAlignment="true" applyProtection="true">
      <alignment horizontal="center" vertical="center" textRotation="0" wrapText="false" indent="0" shrinkToFit="false"/>
      <protection locked="true" hidden="false"/>
    </xf>
    <xf numFmtId="164" fontId="16" fillId="9" borderId="1" xfId="0" applyFont="true" applyBorder="true" applyAlignment="true" applyProtection="true">
      <alignment horizontal="center" vertical="center" textRotation="0" wrapText="false" indent="0" shrinkToFit="false"/>
      <protection locked="true" hidden="false"/>
    </xf>
    <xf numFmtId="164" fontId="0" fillId="9" borderId="9" xfId="0" applyFont="false" applyBorder="true" applyAlignment="true" applyProtection="true">
      <alignment horizontal="general" vertical="center" textRotation="0" wrapText="false" indent="0" shrinkToFit="false"/>
      <protection locked="true" hidden="false"/>
    </xf>
    <xf numFmtId="164" fontId="15" fillId="10" borderId="1" xfId="0" applyFont="true" applyBorder="true" applyAlignment="true" applyProtection="true">
      <alignment horizontal="left" vertical="center" textRotation="0" wrapText="false" indent="1" shrinkToFit="false"/>
      <protection locked="true" hidden="false"/>
    </xf>
    <xf numFmtId="164" fontId="0" fillId="10" borderId="1" xfId="23" applyFont="true" applyBorder="true" applyAlignment="true" applyProtection="true">
      <alignment horizontal="center" vertical="center" textRotation="0" wrapText="false" indent="0" shrinkToFit="false"/>
      <protection locked="true" hidden="false"/>
    </xf>
    <xf numFmtId="169" fontId="16" fillId="10" borderId="1" xfId="19" applyFont="true" applyBorder="true" applyAlignment="true" applyProtection="true">
      <alignment horizontal="center" vertical="center" textRotation="0" wrapText="false" indent="0" shrinkToFit="false"/>
      <protection locked="true" hidden="false"/>
    </xf>
    <xf numFmtId="170" fontId="0" fillId="10" borderId="1" xfId="0" applyFont="false" applyBorder="true" applyAlignment="true" applyProtection="true">
      <alignment horizontal="center" vertical="center" textRotation="0" wrapText="false" indent="0" shrinkToFit="false"/>
      <protection locked="true" hidden="false"/>
    </xf>
    <xf numFmtId="170" fontId="16" fillId="10" borderId="1" xfId="0" applyFont="true" applyBorder="true" applyAlignment="true" applyProtection="true">
      <alignment horizontal="center" vertical="center" textRotation="0" wrapText="false" indent="0" shrinkToFit="false"/>
      <protection locked="true" hidden="false"/>
    </xf>
    <xf numFmtId="164" fontId="16" fillId="10" borderId="1" xfId="0" applyFont="true" applyBorder="true" applyAlignment="true" applyProtection="true">
      <alignment horizontal="center" vertical="center" textRotation="0" wrapText="false" indent="0" shrinkToFit="false"/>
      <protection locked="true" hidden="false"/>
    </xf>
    <xf numFmtId="164" fontId="0" fillId="10" borderId="9" xfId="0" applyFont="false" applyBorder="true" applyAlignment="true" applyProtection="true">
      <alignment horizontal="general" vertical="center" textRotation="0" wrapText="false" indent="0" shrinkToFit="false"/>
      <protection locked="true" hidden="false"/>
    </xf>
    <xf numFmtId="164" fontId="0" fillId="11" borderId="1" xfId="21" applyFont="true" applyBorder="true" applyAlignment="true" applyProtection="true">
      <alignment horizontal="left" vertical="center" textRotation="0" wrapText="false" indent="2" shrinkToFit="false"/>
      <protection locked="true" hidden="false"/>
    </xf>
    <xf numFmtId="164" fontId="0" fillId="11" borderId="1" xfId="23" applyFont="true" applyBorder="true" applyAlignment="true" applyProtection="true">
      <alignment horizontal="center" vertical="center" textRotation="0" wrapText="false" indent="0" shrinkToFit="false"/>
      <protection locked="true" hidden="false"/>
    </xf>
    <xf numFmtId="169" fontId="16" fillId="11" borderId="1" xfId="19" applyFont="true" applyBorder="true" applyAlignment="true" applyProtection="true">
      <alignment horizontal="center" vertical="center" textRotation="0" wrapText="false" indent="0" shrinkToFit="false"/>
      <protection locked="true" hidden="false"/>
    </xf>
    <xf numFmtId="170" fontId="0" fillId="11" borderId="1" xfId="22" applyFont="true" applyBorder="true" applyAlignment="true" applyProtection="true">
      <alignment horizontal="center" vertical="center" textRotation="0" wrapText="false" indent="0" shrinkToFit="false"/>
      <protection locked="true" hidden="false"/>
    </xf>
    <xf numFmtId="164" fontId="16" fillId="11" borderId="1" xfId="0" applyFont="true" applyBorder="true" applyAlignment="true" applyProtection="true">
      <alignment horizontal="center" vertical="center" textRotation="0" wrapText="false" indent="0" shrinkToFit="false"/>
      <protection locked="true" hidden="false"/>
    </xf>
    <xf numFmtId="164" fontId="0" fillId="11" borderId="9" xfId="0" applyFont="false" applyBorder="true" applyAlignment="true" applyProtection="true">
      <alignment horizontal="general" vertical="center" textRotation="0" wrapText="false" indent="0" shrinkToFit="false"/>
      <protection locked="true" hidden="false"/>
    </xf>
    <xf numFmtId="164" fontId="15" fillId="12" borderId="1" xfId="0" applyFont="true" applyBorder="true" applyAlignment="true" applyProtection="true">
      <alignment horizontal="left" vertical="center" textRotation="0" wrapText="false" indent="1" shrinkToFit="false"/>
      <protection locked="true" hidden="false"/>
    </xf>
    <xf numFmtId="164" fontId="0" fillId="12" borderId="1" xfId="23" applyFont="true" applyBorder="true" applyAlignment="true" applyProtection="true">
      <alignment horizontal="center" vertical="center" textRotation="0" wrapText="false" indent="0" shrinkToFit="false"/>
      <protection locked="true" hidden="false"/>
    </xf>
    <xf numFmtId="169" fontId="16" fillId="12" borderId="1" xfId="19" applyFont="true" applyBorder="true" applyAlignment="true" applyProtection="true">
      <alignment horizontal="center" vertical="center" textRotation="0" wrapText="false" indent="0" shrinkToFit="false"/>
      <protection locked="true" hidden="false"/>
    </xf>
    <xf numFmtId="170" fontId="0" fillId="12" borderId="1" xfId="0" applyFont="false" applyBorder="true" applyAlignment="true" applyProtection="true">
      <alignment horizontal="center" vertical="center" textRotation="0" wrapText="false" indent="0" shrinkToFit="false"/>
      <protection locked="true" hidden="false"/>
    </xf>
    <xf numFmtId="170" fontId="16" fillId="12" borderId="1" xfId="0" applyFont="true" applyBorder="true" applyAlignment="true" applyProtection="true">
      <alignment horizontal="center" vertical="center" textRotation="0" wrapText="false" indent="0" shrinkToFit="false"/>
      <protection locked="true" hidden="false"/>
    </xf>
    <xf numFmtId="164" fontId="16" fillId="12" borderId="1" xfId="0" applyFont="true" applyBorder="true" applyAlignment="true" applyProtection="true">
      <alignment horizontal="center" vertical="center" textRotation="0" wrapText="false" indent="0" shrinkToFit="false"/>
      <protection locked="true" hidden="false"/>
    </xf>
    <xf numFmtId="164" fontId="0" fillId="12" borderId="9" xfId="0" applyFont="false" applyBorder="true" applyAlignment="true" applyProtection="true">
      <alignment horizontal="general" vertical="center" textRotation="0" wrapText="false" indent="0" shrinkToFit="false"/>
      <protection locked="true" hidden="false"/>
    </xf>
    <xf numFmtId="164" fontId="0" fillId="13" borderId="1" xfId="21" applyFont="true" applyBorder="true" applyAlignment="true" applyProtection="true">
      <alignment horizontal="left" vertical="center" textRotation="0" wrapText="false" indent="2" shrinkToFit="false"/>
      <protection locked="true" hidden="false"/>
    </xf>
    <xf numFmtId="164" fontId="0" fillId="13" borderId="1" xfId="23" applyFont="true" applyBorder="true" applyAlignment="true" applyProtection="true">
      <alignment horizontal="center" vertical="center" textRotation="0" wrapText="false" indent="0" shrinkToFit="false"/>
      <protection locked="true" hidden="false"/>
    </xf>
    <xf numFmtId="169" fontId="16" fillId="13" borderId="1" xfId="19" applyFont="true" applyBorder="true" applyAlignment="true" applyProtection="true">
      <alignment horizontal="center" vertical="center" textRotation="0" wrapText="false" indent="0" shrinkToFit="false"/>
      <protection locked="true" hidden="false"/>
    </xf>
    <xf numFmtId="170" fontId="0" fillId="13" borderId="1" xfId="22" applyFont="true" applyBorder="true" applyAlignment="true" applyProtection="true">
      <alignment horizontal="center" vertical="center" textRotation="0" wrapText="false" indent="0" shrinkToFit="false"/>
      <protection locked="true" hidden="false"/>
    </xf>
    <xf numFmtId="164" fontId="16" fillId="13" borderId="1" xfId="0" applyFont="true" applyBorder="true" applyAlignment="true" applyProtection="true">
      <alignment horizontal="center" vertical="center" textRotation="0" wrapText="false" indent="0" shrinkToFit="false"/>
      <protection locked="true" hidden="false"/>
    </xf>
    <xf numFmtId="164" fontId="0" fillId="13" borderId="9" xfId="0" applyFont="false" applyBorder="true" applyAlignment="true" applyProtection="true">
      <alignment horizontal="general" vertical="center" textRotation="0" wrapText="false" indent="0" shrinkToFit="false"/>
      <protection locked="true" hidden="false"/>
    </xf>
    <xf numFmtId="164" fontId="15" fillId="14" borderId="1" xfId="0" applyFont="true" applyBorder="true" applyAlignment="true" applyProtection="true">
      <alignment horizontal="left" vertical="center" textRotation="0" wrapText="false" indent="1" shrinkToFit="false"/>
      <protection locked="true" hidden="false"/>
    </xf>
    <xf numFmtId="164" fontId="0" fillId="14" borderId="1" xfId="23" applyFont="true" applyBorder="true" applyAlignment="true" applyProtection="true">
      <alignment horizontal="center" vertical="center" textRotation="0" wrapText="false" indent="0" shrinkToFit="false"/>
      <protection locked="true" hidden="false"/>
    </xf>
    <xf numFmtId="169" fontId="16" fillId="14" borderId="1" xfId="19" applyFont="true" applyBorder="true" applyAlignment="true" applyProtection="true">
      <alignment horizontal="center" vertical="center" textRotation="0" wrapText="false" indent="0" shrinkToFit="false"/>
      <protection locked="true" hidden="false"/>
    </xf>
    <xf numFmtId="170" fontId="0" fillId="14" borderId="1" xfId="0" applyFont="false" applyBorder="true" applyAlignment="true" applyProtection="true">
      <alignment horizontal="center" vertical="center" textRotation="0" wrapText="false" indent="0" shrinkToFit="false"/>
      <protection locked="true" hidden="false"/>
    </xf>
    <xf numFmtId="170" fontId="16" fillId="14" borderId="1" xfId="0" applyFont="true" applyBorder="true" applyAlignment="true" applyProtection="true">
      <alignment horizontal="center" vertical="center" textRotation="0" wrapText="false" indent="0" shrinkToFit="false"/>
      <protection locked="true" hidden="false"/>
    </xf>
    <xf numFmtId="164" fontId="16" fillId="14" borderId="1" xfId="0" applyFont="true" applyBorder="true" applyAlignment="true" applyProtection="true">
      <alignment horizontal="center" vertical="center" textRotation="0" wrapText="false" indent="0" shrinkToFit="false"/>
      <protection locked="true" hidden="false"/>
    </xf>
    <xf numFmtId="164" fontId="0" fillId="14" borderId="9" xfId="0" applyFont="false" applyBorder="true" applyAlignment="true" applyProtection="true">
      <alignment horizontal="general" vertical="center" textRotation="0" wrapText="false" indent="0" shrinkToFit="false"/>
      <protection locked="true" hidden="false"/>
    </xf>
    <xf numFmtId="164" fontId="0" fillId="15" borderId="1" xfId="21" applyFont="true" applyBorder="true" applyAlignment="true" applyProtection="true">
      <alignment horizontal="left" vertical="center" textRotation="0" wrapText="false" indent="2" shrinkToFit="false"/>
      <protection locked="true" hidden="false"/>
    </xf>
    <xf numFmtId="164" fontId="0" fillId="15" borderId="1" xfId="23" applyFont="true" applyBorder="true" applyAlignment="true" applyProtection="true">
      <alignment horizontal="center" vertical="center" textRotation="0" wrapText="false" indent="0" shrinkToFit="false"/>
      <protection locked="true" hidden="false"/>
    </xf>
    <xf numFmtId="169" fontId="16" fillId="15" borderId="1" xfId="19" applyFont="true" applyBorder="true" applyAlignment="true" applyProtection="true">
      <alignment horizontal="center" vertical="center" textRotation="0" wrapText="false" indent="0" shrinkToFit="false"/>
      <protection locked="true" hidden="false"/>
    </xf>
    <xf numFmtId="170" fontId="0" fillId="15" borderId="1" xfId="22" applyFont="true" applyBorder="true" applyAlignment="true" applyProtection="true">
      <alignment horizontal="center" vertical="center" textRotation="0" wrapText="false" indent="0" shrinkToFit="false"/>
      <protection locked="true" hidden="false"/>
    </xf>
    <xf numFmtId="164" fontId="16" fillId="15" borderId="1" xfId="0" applyFont="true" applyBorder="true" applyAlignment="true" applyProtection="true">
      <alignment horizontal="center" vertical="center" textRotation="0" wrapText="false" indent="0" shrinkToFit="false"/>
      <protection locked="true" hidden="false"/>
    </xf>
    <xf numFmtId="164" fontId="0" fillId="15" borderId="9" xfId="0" applyFont="false" applyBorder="true" applyAlignment="true" applyProtection="true">
      <alignment horizontal="general" vertical="center" textRotation="0" wrapText="false" indent="0" shrinkToFit="false"/>
      <protection locked="true" hidden="false"/>
    </xf>
    <xf numFmtId="164" fontId="15" fillId="2" borderId="1" xfId="0" applyFont="true" applyBorder="true" applyAlignment="true" applyProtection="true">
      <alignment horizontal="left" vertical="center" textRotation="0" wrapText="false" indent="1" shrinkToFit="false"/>
      <protection locked="true" hidden="false"/>
    </xf>
    <xf numFmtId="164" fontId="0" fillId="2" borderId="1" xfId="23" applyFont="true" applyBorder="true" applyAlignment="true" applyProtection="true">
      <alignment horizontal="center" vertical="center" textRotation="0" wrapText="false" indent="0" shrinkToFit="false"/>
      <protection locked="true" hidden="false"/>
    </xf>
    <xf numFmtId="169" fontId="16" fillId="2" borderId="1" xfId="19" applyFont="true" applyBorder="true" applyAlignment="true" applyProtection="true">
      <alignment horizontal="center" vertical="center" textRotation="0" wrapText="false" indent="0" shrinkToFit="false"/>
      <protection locked="true" hidden="false"/>
    </xf>
    <xf numFmtId="170" fontId="0" fillId="2" borderId="1" xfId="0" applyFont="false" applyBorder="true" applyAlignment="true" applyProtection="true">
      <alignment horizontal="center" vertical="center" textRotation="0" wrapText="false" indent="0" shrinkToFit="false"/>
      <protection locked="true" hidden="false"/>
    </xf>
    <xf numFmtId="170" fontId="16" fillId="2" borderId="1" xfId="0" applyFont="true" applyBorder="true" applyAlignment="true" applyProtection="true">
      <alignment horizontal="center" vertical="center" textRotation="0" wrapText="false" indent="0" shrinkToFit="false"/>
      <protection locked="true" hidden="false"/>
    </xf>
    <xf numFmtId="164" fontId="16" fillId="2" borderId="1" xfId="0" applyFont="true" applyBorder="true" applyAlignment="true" applyProtection="true">
      <alignment horizontal="center" vertical="center" textRotation="0" wrapText="false" indent="0" shrinkToFit="false"/>
      <protection locked="true" hidden="false"/>
    </xf>
    <xf numFmtId="164" fontId="0" fillId="2" borderId="9" xfId="0" applyFont="false" applyBorder="true" applyAlignment="true" applyProtection="true">
      <alignment horizontal="general" vertical="center" textRotation="0" wrapText="false" indent="0" shrinkToFit="false"/>
      <protection locked="true" hidden="false"/>
    </xf>
    <xf numFmtId="164" fontId="0" fillId="16" borderId="1" xfId="21" applyFont="true" applyBorder="true" applyAlignment="true" applyProtection="true">
      <alignment horizontal="left" vertical="center" textRotation="0" wrapText="false" indent="2" shrinkToFit="false"/>
      <protection locked="true" hidden="false"/>
    </xf>
    <xf numFmtId="164" fontId="0" fillId="16" borderId="1" xfId="23" applyFont="true" applyBorder="true" applyAlignment="true" applyProtection="true">
      <alignment horizontal="center" vertical="center" textRotation="0" wrapText="false" indent="0" shrinkToFit="false"/>
      <protection locked="true" hidden="false"/>
    </xf>
    <xf numFmtId="169" fontId="16" fillId="16" borderId="1" xfId="19" applyFont="true" applyBorder="true" applyAlignment="true" applyProtection="true">
      <alignment horizontal="center" vertical="center" textRotation="0" wrapText="false" indent="0" shrinkToFit="false"/>
      <protection locked="true" hidden="false"/>
    </xf>
    <xf numFmtId="170" fontId="0" fillId="16" borderId="1" xfId="22" applyFont="true" applyBorder="true" applyAlignment="true" applyProtection="true">
      <alignment horizontal="center" vertical="center" textRotation="0" wrapText="false" indent="0" shrinkToFit="false"/>
      <protection locked="true" hidden="false"/>
    </xf>
    <xf numFmtId="164" fontId="16" fillId="16" borderId="1" xfId="0" applyFont="true" applyBorder="true" applyAlignment="true" applyProtection="true">
      <alignment horizontal="center" vertical="center" textRotation="0" wrapText="false" indent="0" shrinkToFit="false"/>
      <protection locked="true" hidden="false"/>
    </xf>
    <xf numFmtId="164" fontId="0" fillId="16" borderId="9" xfId="0" applyFont="false" applyBorder="true" applyAlignment="true" applyProtection="true">
      <alignment horizontal="general" vertical="center" textRotation="0" wrapText="false" indent="0" shrinkToFit="false"/>
      <protection locked="true" hidden="false"/>
    </xf>
    <xf numFmtId="164" fontId="15" fillId="17" borderId="1" xfId="0" applyFont="true" applyBorder="true" applyAlignment="true" applyProtection="true">
      <alignment horizontal="left" vertical="center" textRotation="0" wrapText="false" indent="1" shrinkToFit="false"/>
      <protection locked="true" hidden="false"/>
    </xf>
    <xf numFmtId="164" fontId="0" fillId="17" borderId="1" xfId="23" applyFont="true" applyBorder="true" applyAlignment="true" applyProtection="true">
      <alignment horizontal="center" vertical="center" textRotation="0" wrapText="false" indent="0" shrinkToFit="false"/>
      <protection locked="true" hidden="false"/>
    </xf>
    <xf numFmtId="169" fontId="16" fillId="17" borderId="1" xfId="19" applyFont="true" applyBorder="true" applyAlignment="true" applyProtection="true">
      <alignment horizontal="center" vertical="center" textRotation="0" wrapText="false" indent="0" shrinkToFit="false"/>
      <protection locked="true" hidden="false"/>
    </xf>
    <xf numFmtId="170" fontId="0" fillId="17" borderId="1" xfId="0" applyFont="false" applyBorder="true" applyAlignment="true" applyProtection="true">
      <alignment horizontal="center" vertical="center" textRotation="0" wrapText="false" indent="0" shrinkToFit="false"/>
      <protection locked="true" hidden="false"/>
    </xf>
    <xf numFmtId="170" fontId="16" fillId="17" borderId="1" xfId="0" applyFont="true" applyBorder="true" applyAlignment="true" applyProtection="true">
      <alignment horizontal="center" vertical="center" textRotation="0" wrapText="false" indent="0" shrinkToFit="false"/>
      <protection locked="true" hidden="false"/>
    </xf>
    <xf numFmtId="164" fontId="16" fillId="17" borderId="1" xfId="0" applyFont="true" applyBorder="true" applyAlignment="true" applyProtection="true">
      <alignment horizontal="center" vertical="center" textRotation="0" wrapText="false" indent="0" shrinkToFit="false"/>
      <protection locked="true" hidden="false"/>
    </xf>
    <xf numFmtId="164" fontId="0" fillId="17" borderId="9" xfId="0" applyFont="false" applyBorder="true" applyAlignment="true" applyProtection="true">
      <alignment horizontal="general" vertical="center" textRotation="0" wrapText="false" indent="0" shrinkToFit="false"/>
      <protection locked="true" hidden="false"/>
    </xf>
    <xf numFmtId="164" fontId="0" fillId="18" borderId="1" xfId="21" applyFont="true" applyBorder="true" applyAlignment="true" applyProtection="true">
      <alignment horizontal="left" vertical="center" textRotation="0" wrapText="false" indent="2" shrinkToFit="false"/>
      <protection locked="true" hidden="false"/>
    </xf>
    <xf numFmtId="164" fontId="0" fillId="18" borderId="1" xfId="23" applyFont="true" applyBorder="true" applyAlignment="true" applyProtection="true">
      <alignment horizontal="center" vertical="center" textRotation="0" wrapText="false" indent="0" shrinkToFit="false"/>
      <protection locked="true" hidden="false"/>
    </xf>
    <xf numFmtId="169" fontId="16" fillId="18" borderId="1" xfId="19" applyFont="true" applyBorder="true" applyAlignment="true" applyProtection="true">
      <alignment horizontal="center" vertical="center" textRotation="0" wrapText="false" indent="0" shrinkToFit="false"/>
      <protection locked="true" hidden="false"/>
    </xf>
    <xf numFmtId="170" fontId="0" fillId="18" borderId="1" xfId="22" applyFont="true" applyBorder="true" applyAlignment="true" applyProtection="true">
      <alignment horizontal="center" vertical="center" textRotation="0" wrapText="false" indent="0" shrinkToFit="false"/>
      <protection locked="true" hidden="false"/>
    </xf>
    <xf numFmtId="164" fontId="16" fillId="18" borderId="1" xfId="0" applyFont="true" applyBorder="true" applyAlignment="true" applyProtection="true">
      <alignment horizontal="center" vertical="center" textRotation="0" wrapText="false" indent="0" shrinkToFit="false"/>
      <protection locked="true" hidden="false"/>
    </xf>
    <xf numFmtId="164" fontId="0" fillId="18" borderId="9" xfId="0" applyFont="false" applyBorder="tru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19" fillId="0" borderId="0" xfId="0" applyFont="true" applyBorder="false" applyAlignment="true" applyProtection="true">
      <alignment horizontal="left" vertical="center" textRotation="0" wrapText="false" indent="0" shrinkToFit="false"/>
      <protection locked="true" hidden="false"/>
    </xf>
    <xf numFmtId="164" fontId="20" fillId="0" borderId="0" xfId="0" applyFont="true" applyBorder="false" applyAlignment="true" applyProtection="true">
      <alignment horizontal="left" vertical="center" textRotation="0" wrapText="false" indent="0" shrinkToFit="false"/>
      <protection locked="true" hidden="false"/>
    </xf>
    <xf numFmtId="164" fontId="21" fillId="0" borderId="0" xfId="0" applyFont="true" applyBorder="false" applyAlignment="true" applyProtection="true">
      <alignment horizontal="general" vertical="top" textRotation="0" wrapText="false" indent="0" shrinkToFit="false"/>
      <protection locked="true" hidden="false"/>
    </xf>
    <xf numFmtId="164" fontId="22"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left" vertical="top" textRotation="0" wrapText="false" indent="0" shrinkToFit="false"/>
      <protection locked="true" hidden="false"/>
    </xf>
    <xf numFmtId="164" fontId="23" fillId="0" borderId="0" xfId="0" applyFont="true" applyBorder="fals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left" vertical="top" textRotation="0" wrapText="true" indent="1"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10" fillId="0" borderId="0" xfId="20" applyFont="true" applyBorder="true" applyAlignment="true" applyProtection="true">
      <alignment horizontal="left" vertical="top" textRotation="0" wrapText="false" indent="0" shrinkToFit="false"/>
      <protection locked="true" hidden="fals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Aufgabe" xfId="21"/>
    <cellStyle name="Datum" xfId="22"/>
    <cellStyle name="Name" xfId="23"/>
    <cellStyle name="Projektanfang" xfId="24"/>
    <cellStyle name="zAusgeblText" xfId="25"/>
    <cellStyle name="Excel Built-in Title" xfId="26"/>
    <cellStyle name="Excel Built-in Heading 1" xfId="27"/>
    <cellStyle name="*unknown*" xfId="20" builtinId="8"/>
    <cellStyle name="Excel Built-in Heading 2" xfId="28"/>
    <cellStyle name="Excel Built-in Heading 3" xfId="29"/>
  </cellStyles>
  <dxfs count="3">
    <dxf>
      <fill>
        <patternFill>
          <bgColor theme="0" tint="-0.35"/>
        </patternFill>
      </fill>
    </dxf>
    <dxf>
      <fill>
        <patternFill>
          <bgColor theme="7"/>
        </patternFill>
      </fill>
      <border diagonalUp="false" diagonalDown="false">
        <left/>
        <right/>
        <top/>
        <bottom/>
        <diagonal/>
      </border>
    </dxf>
    <dxf>
      <border diagonalUp="false" diagonalDown="false">
        <left style="thin">
          <color rgb="FFC00000"/>
        </left>
        <right style="thin">
          <color rgb="FFC00000"/>
        </right>
        <top/>
        <bottom/>
        <diagonal/>
      </border>
    </dxf>
  </dxfs>
  <colors>
    <indexedColors>
      <rgbColor rgb="FF000000"/>
      <rgbColor rgb="FFFFFFFF"/>
      <rgbColor rgb="FFC00000"/>
      <rgbColor rgb="FF00FF00"/>
      <rgbColor rgb="FF0000FF"/>
      <rgbColor rgb="FFE6E0EC"/>
      <rgbColor rgb="FFFF00FF"/>
      <rgbColor rgb="FF00FFFF"/>
      <rgbColor rgb="FF800000"/>
      <rgbColor rgb="FF008000"/>
      <rgbColor rgb="FF000080"/>
      <rgbColor rgb="FF77933C"/>
      <rgbColor rgb="FF800080"/>
      <rgbColor rgb="FF008080"/>
      <rgbColor rgb="FFCCC1DA"/>
      <rgbColor rgb="FF7F7F7F"/>
      <rgbColor rgb="FFDDD9C3"/>
      <rgbColor rgb="FF595959"/>
      <rgbColor rgb="FFEBF1DE"/>
      <rgbColor rgb="FFDEE6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D7E4BD"/>
      <rgbColor rgb="FFFDEADA"/>
      <rgbColor rgb="FFB4C7DC"/>
      <rgbColor rgb="FFE6B9B8"/>
      <rgbColor rgb="FFC4BD97"/>
      <rgbColor rgb="FFFCD5B5"/>
      <rgbColor rgb="FF3366FF"/>
      <rgbColor rgb="FF33CCCC"/>
      <rgbColor rgb="FFC3D69B"/>
      <rgbColor rgb="FFF2DCDB"/>
      <rgbColor rgb="FFFF9900"/>
      <rgbColor rgb="FFFF6600"/>
      <rgbColor rgb="FF8064A2"/>
      <rgbColor rgb="FFA6A6A6"/>
      <rgbColor rgb="FF003366"/>
      <rgbColor rgb="FF339966"/>
      <rgbColor rgb="FF003300"/>
      <rgbColor rgb="FF333300"/>
      <rgbColor rgb="FF993300"/>
      <rgbColor rgb="FF993366"/>
      <rgbColor rgb="FF376092"/>
      <rgbColor rgb="FF1D21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logo" TargetMode="Externa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95400</xdr:rowOff>
    </xdr:from>
    <xdr:to>
      <xdr:col>0</xdr:col>
      <xdr:colOff>1904040</xdr:colOff>
      <xdr:row>0</xdr:row>
      <xdr:rowOff>523080</xdr:rowOff>
    </xdr:to>
    <xdr:pic>
      <xdr:nvPicPr>
        <xdr:cNvPr id="0" name="Bild 1" descr="Vertex42-Logo">
          <a:hlinkClick r:id="rId1"/>
        </xdr:cNvPr>
        <xdr:cNvPicPr/>
      </xdr:nvPicPr>
      <xdr:blipFill>
        <a:blip r:embed="rId2"/>
        <a:stretch/>
      </xdr:blipFill>
      <xdr:spPr>
        <a:xfrm>
          <a:off x="0" y="95400"/>
          <a:ext cx="1904040" cy="4276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hyperlink" Target="https://www.vertex42.com/ExcelTemplates/simple-gantt-chart.html?utm_source=ms&amp;utm_medium=file&amp;utm_campaign=office&amp;utm_content=help" TargetMode="External"/><Relationship Id="rId4"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P30"/>
  <sheetViews>
    <sheetView showFormulas="false" showGridLines="false" showRowColHeaders="true" showZeros="true" rightToLeft="false" tabSelected="true" showOutlineSymbols="true" defaultGridColor="true" view="normal" topLeftCell="A1" colorId="64" zoomScale="75" zoomScaleNormal="75" zoomScalePageLayoutView="100" workbookViewId="0">
      <pane xSplit="0" ySplit="6" topLeftCell="A7" activePane="bottomLeft" state="frozen"/>
      <selection pane="topLeft" activeCell="A1" activeCellId="0" sqref="A1"/>
      <selection pane="bottomLeft" activeCell="F25" activeCellId="0" sqref="F25"/>
    </sheetView>
  </sheetViews>
  <sheetFormatPr defaultColWidth="9.14453125" defaultRowHeight="30" zeroHeight="false" outlineLevelRow="0" outlineLevelCol="0"/>
  <cols>
    <col collapsed="false" customWidth="true" hidden="false" outlineLevel="0" max="1" min="1" style="1" width="2.7"/>
    <col collapsed="false" customWidth="true" hidden="false" outlineLevel="0" max="2" min="2" style="2" width="19.86"/>
    <col collapsed="false" customWidth="true" hidden="false" outlineLevel="0" max="3" min="3" style="2" width="30.7"/>
    <col collapsed="false" customWidth="true" hidden="false" outlineLevel="0" max="4" min="4" style="2" width="10.7"/>
    <col collapsed="false" customWidth="true" hidden="false" outlineLevel="0" max="5" min="5" style="3" width="10.43"/>
    <col collapsed="false" customWidth="true" hidden="false" outlineLevel="0" max="6" min="6" style="2" width="10.43"/>
    <col collapsed="false" customWidth="true" hidden="false" outlineLevel="0" max="7" min="7" style="2" width="2.7"/>
    <col collapsed="false" customWidth="true" hidden="true" outlineLevel="0" max="8" min="8" style="2" width="6.14"/>
    <col collapsed="false" customWidth="true" hidden="false" outlineLevel="0" max="120" min="9" style="2" width="2.57"/>
  </cols>
  <sheetData>
    <row r="1" customFormat="false" ht="30" hidden="false" customHeight="true" outlineLevel="0" collapsed="false">
      <c r="A1" s="4" t="s">
        <v>0</v>
      </c>
      <c r="B1" s="5" t="s">
        <v>1</v>
      </c>
      <c r="C1" s="6"/>
      <c r="D1" s="7"/>
      <c r="E1" s="8"/>
      <c r="F1" s="9"/>
      <c r="H1" s="7"/>
      <c r="I1" s="10"/>
    </row>
    <row r="2" customFormat="false" ht="30" hidden="false" customHeight="true" outlineLevel="0" collapsed="false">
      <c r="A2" s="1" t="s">
        <v>2</v>
      </c>
      <c r="B2" s="11" t="s">
        <v>3</v>
      </c>
      <c r="C2" s="12" t="s">
        <v>4</v>
      </c>
      <c r="I2" s="13"/>
    </row>
    <row r="3" customFormat="false" ht="30" hidden="false" customHeight="true" outlineLevel="0" collapsed="false">
      <c r="A3" s="1" t="s">
        <v>5</v>
      </c>
      <c r="B3" s="14" t="s">
        <v>6</v>
      </c>
      <c r="C3" s="15" t="s">
        <v>7</v>
      </c>
      <c r="D3" s="15"/>
      <c r="E3" s="16" t="n">
        <f aca="true">TODAY()-7</f>
        <v>45951</v>
      </c>
      <c r="F3" s="16"/>
    </row>
    <row r="4" customFormat="false" ht="30" hidden="false" customHeight="true" outlineLevel="0" collapsed="false">
      <c r="A4" s="4" t="s">
        <v>8</v>
      </c>
      <c r="C4" s="15" t="s">
        <v>9</v>
      </c>
      <c r="D4" s="15"/>
      <c r="E4" s="17" t="n">
        <v>1</v>
      </c>
      <c r="I4" s="18" t="n">
        <f aca="false">I5</f>
        <v>45950</v>
      </c>
      <c r="J4" s="18"/>
      <c r="K4" s="18"/>
      <c r="L4" s="18"/>
      <c r="M4" s="18"/>
      <c r="N4" s="18"/>
      <c r="O4" s="18"/>
      <c r="P4" s="18" t="n">
        <f aca="false">P5</f>
        <v>45957</v>
      </c>
      <c r="Q4" s="18"/>
      <c r="R4" s="18"/>
      <c r="S4" s="18"/>
      <c r="T4" s="18"/>
      <c r="U4" s="18"/>
      <c r="V4" s="18"/>
      <c r="W4" s="18" t="n">
        <f aca="false">W5</f>
        <v>45964</v>
      </c>
      <c r="X4" s="18"/>
      <c r="Y4" s="18"/>
      <c r="Z4" s="18"/>
      <c r="AA4" s="18"/>
      <c r="AB4" s="18"/>
      <c r="AC4" s="18"/>
      <c r="AD4" s="18" t="n">
        <f aca="false">AD5</f>
        <v>45971</v>
      </c>
      <c r="AE4" s="18"/>
      <c r="AF4" s="18"/>
      <c r="AG4" s="18"/>
      <c r="AH4" s="18"/>
      <c r="AI4" s="18"/>
      <c r="AJ4" s="18"/>
      <c r="AK4" s="18" t="n">
        <f aca="false">AK5</f>
        <v>45978</v>
      </c>
      <c r="AL4" s="18"/>
      <c r="AM4" s="18"/>
      <c r="AN4" s="18"/>
      <c r="AO4" s="18"/>
      <c r="AP4" s="18"/>
      <c r="AQ4" s="18"/>
      <c r="AR4" s="18" t="n">
        <f aca="false">AR5</f>
        <v>45985</v>
      </c>
      <c r="AS4" s="18"/>
      <c r="AT4" s="18"/>
      <c r="AU4" s="18"/>
      <c r="AV4" s="18"/>
      <c r="AW4" s="18"/>
      <c r="AX4" s="18"/>
      <c r="AY4" s="18" t="n">
        <f aca="false">AY5</f>
        <v>45992</v>
      </c>
      <c r="AZ4" s="18"/>
      <c r="BA4" s="18"/>
      <c r="BB4" s="18"/>
      <c r="BC4" s="18"/>
      <c r="BD4" s="18"/>
      <c r="BE4" s="18"/>
      <c r="BF4" s="18" t="n">
        <f aca="false">BF5</f>
        <v>45999</v>
      </c>
      <c r="BG4" s="18"/>
      <c r="BH4" s="18"/>
      <c r="BI4" s="18"/>
      <c r="BJ4" s="18"/>
      <c r="BK4" s="18"/>
      <c r="BL4" s="18"/>
      <c r="BM4" s="18" t="n">
        <f aca="false">BM5</f>
        <v>46006</v>
      </c>
      <c r="BN4" s="18"/>
      <c r="BO4" s="18"/>
      <c r="BP4" s="18"/>
      <c r="BQ4" s="18"/>
      <c r="BR4" s="18"/>
      <c r="BS4" s="18"/>
      <c r="BT4" s="18" t="n">
        <f aca="false">BT5</f>
        <v>46013</v>
      </c>
      <c r="BU4" s="18"/>
      <c r="BV4" s="18"/>
      <c r="BW4" s="18"/>
      <c r="BX4" s="18"/>
      <c r="BY4" s="18"/>
      <c r="BZ4" s="18"/>
      <c r="CA4" s="18" t="n">
        <f aca="false">CA5</f>
        <v>46020</v>
      </c>
      <c r="CB4" s="18"/>
      <c r="CC4" s="18"/>
      <c r="CD4" s="18"/>
      <c r="CE4" s="18"/>
      <c r="CF4" s="18"/>
      <c r="CG4" s="18"/>
      <c r="CH4" s="18" t="n">
        <f aca="false">CH5</f>
        <v>46027</v>
      </c>
      <c r="CI4" s="18"/>
      <c r="CJ4" s="18"/>
      <c r="CK4" s="18"/>
      <c r="CL4" s="18"/>
      <c r="CM4" s="18"/>
      <c r="CN4" s="18"/>
      <c r="CO4" s="18" t="n">
        <f aca="false">CO5</f>
        <v>46034</v>
      </c>
      <c r="CP4" s="18"/>
      <c r="CQ4" s="18"/>
      <c r="CR4" s="18"/>
      <c r="CS4" s="18"/>
      <c r="CT4" s="18"/>
      <c r="CU4" s="18"/>
      <c r="CV4" s="18" t="n">
        <f aca="false">CV5</f>
        <v>46041</v>
      </c>
      <c r="CW4" s="18"/>
      <c r="CX4" s="18"/>
      <c r="CY4" s="18"/>
      <c r="CZ4" s="18"/>
      <c r="DA4" s="18"/>
      <c r="DB4" s="18"/>
      <c r="DC4" s="18" t="n">
        <f aca="false">DC5</f>
        <v>46048</v>
      </c>
      <c r="DD4" s="18"/>
      <c r="DE4" s="18"/>
      <c r="DF4" s="18"/>
      <c r="DG4" s="18"/>
      <c r="DH4" s="18"/>
      <c r="DI4" s="18"/>
      <c r="DJ4" s="18" t="n">
        <f aca="false">DJ5</f>
        <v>46055</v>
      </c>
      <c r="DK4" s="18"/>
      <c r="DL4" s="18"/>
      <c r="DM4" s="18"/>
      <c r="DN4" s="18"/>
      <c r="DO4" s="18"/>
      <c r="DP4" s="18"/>
    </row>
    <row r="5" customFormat="false" ht="15" hidden="false" customHeight="true" outlineLevel="0" collapsed="false">
      <c r="A5" s="4" t="s">
        <v>10</v>
      </c>
      <c r="B5" s="19"/>
      <c r="C5" s="19"/>
      <c r="D5" s="19"/>
      <c r="E5" s="19"/>
      <c r="F5" s="19"/>
      <c r="G5" s="19"/>
      <c r="I5" s="20" t="n">
        <f aca="false">Projektanfang-WEEKDAY(Projektanfang,1)+2+7*(Anzeigewoche-1)</f>
        <v>45950</v>
      </c>
      <c r="J5" s="21" t="n">
        <f aca="false">I5+1</f>
        <v>45951</v>
      </c>
      <c r="K5" s="21" t="n">
        <f aca="false">J5+1</f>
        <v>45952</v>
      </c>
      <c r="L5" s="21" t="n">
        <f aca="false">K5+1</f>
        <v>45953</v>
      </c>
      <c r="M5" s="21" t="n">
        <f aca="false">L5+1</f>
        <v>45954</v>
      </c>
      <c r="N5" s="21" t="n">
        <f aca="false">M5+1</f>
        <v>45955</v>
      </c>
      <c r="O5" s="22" t="n">
        <f aca="false">N5+1</f>
        <v>45956</v>
      </c>
      <c r="P5" s="20" t="n">
        <f aca="false">O5+1</f>
        <v>45957</v>
      </c>
      <c r="Q5" s="21" t="n">
        <f aca="false">P5+1</f>
        <v>45958</v>
      </c>
      <c r="R5" s="21" t="n">
        <f aca="false">Q5+1</f>
        <v>45959</v>
      </c>
      <c r="S5" s="21" t="n">
        <f aca="false">R5+1</f>
        <v>45960</v>
      </c>
      <c r="T5" s="21" t="n">
        <f aca="false">S5+1</f>
        <v>45961</v>
      </c>
      <c r="U5" s="21" t="n">
        <f aca="false">T5+1</f>
        <v>45962</v>
      </c>
      <c r="V5" s="22" t="n">
        <f aca="false">U5+1</f>
        <v>45963</v>
      </c>
      <c r="W5" s="20" t="n">
        <f aca="false">V5+1</f>
        <v>45964</v>
      </c>
      <c r="X5" s="21" t="n">
        <f aca="false">W5+1</f>
        <v>45965</v>
      </c>
      <c r="Y5" s="21" t="n">
        <f aca="false">X5+1</f>
        <v>45966</v>
      </c>
      <c r="Z5" s="21" t="n">
        <f aca="false">Y5+1</f>
        <v>45967</v>
      </c>
      <c r="AA5" s="21" t="n">
        <f aca="false">Z5+1</f>
        <v>45968</v>
      </c>
      <c r="AB5" s="21" t="n">
        <f aca="false">AA5+1</f>
        <v>45969</v>
      </c>
      <c r="AC5" s="22" t="n">
        <f aca="false">AB5+1</f>
        <v>45970</v>
      </c>
      <c r="AD5" s="20" t="n">
        <f aca="false">AC5+1</f>
        <v>45971</v>
      </c>
      <c r="AE5" s="21" t="n">
        <f aca="false">AD5+1</f>
        <v>45972</v>
      </c>
      <c r="AF5" s="21" t="n">
        <f aca="false">AE5+1</f>
        <v>45973</v>
      </c>
      <c r="AG5" s="21" t="n">
        <f aca="false">AF5+1</f>
        <v>45974</v>
      </c>
      <c r="AH5" s="21" t="n">
        <f aca="false">AG5+1</f>
        <v>45975</v>
      </c>
      <c r="AI5" s="21" t="n">
        <f aca="false">AH5+1</f>
        <v>45976</v>
      </c>
      <c r="AJ5" s="22" t="n">
        <f aca="false">AI5+1</f>
        <v>45977</v>
      </c>
      <c r="AK5" s="20" t="n">
        <f aca="false">AJ5+1</f>
        <v>45978</v>
      </c>
      <c r="AL5" s="21" t="n">
        <f aca="false">AK5+1</f>
        <v>45979</v>
      </c>
      <c r="AM5" s="21" t="n">
        <f aca="false">AL5+1</f>
        <v>45980</v>
      </c>
      <c r="AN5" s="21" t="n">
        <f aca="false">AM5+1</f>
        <v>45981</v>
      </c>
      <c r="AO5" s="21" t="n">
        <f aca="false">AN5+1</f>
        <v>45982</v>
      </c>
      <c r="AP5" s="21" t="n">
        <f aca="false">AO5+1</f>
        <v>45983</v>
      </c>
      <c r="AQ5" s="22" t="n">
        <f aca="false">AP5+1</f>
        <v>45984</v>
      </c>
      <c r="AR5" s="20" t="n">
        <f aca="false">AQ5+1</f>
        <v>45985</v>
      </c>
      <c r="AS5" s="21" t="n">
        <f aca="false">AR5+1</f>
        <v>45986</v>
      </c>
      <c r="AT5" s="21" t="n">
        <f aca="false">AS5+1</f>
        <v>45987</v>
      </c>
      <c r="AU5" s="21" t="n">
        <f aca="false">AT5+1</f>
        <v>45988</v>
      </c>
      <c r="AV5" s="21" t="n">
        <f aca="false">AU5+1</f>
        <v>45989</v>
      </c>
      <c r="AW5" s="21" t="n">
        <f aca="false">AV5+1</f>
        <v>45990</v>
      </c>
      <c r="AX5" s="22" t="n">
        <f aca="false">AW5+1</f>
        <v>45991</v>
      </c>
      <c r="AY5" s="20" t="n">
        <f aca="false">AX5+1</f>
        <v>45992</v>
      </c>
      <c r="AZ5" s="21" t="n">
        <f aca="false">AY5+1</f>
        <v>45993</v>
      </c>
      <c r="BA5" s="21" t="n">
        <f aca="false">AZ5+1</f>
        <v>45994</v>
      </c>
      <c r="BB5" s="21" t="n">
        <f aca="false">BA5+1</f>
        <v>45995</v>
      </c>
      <c r="BC5" s="21" t="n">
        <f aca="false">BB5+1</f>
        <v>45996</v>
      </c>
      <c r="BD5" s="21" t="n">
        <f aca="false">BC5+1</f>
        <v>45997</v>
      </c>
      <c r="BE5" s="22" t="n">
        <f aca="false">BD5+1</f>
        <v>45998</v>
      </c>
      <c r="BF5" s="20" t="n">
        <f aca="false">BE5+1</f>
        <v>45999</v>
      </c>
      <c r="BG5" s="21" t="n">
        <f aca="false">BF5+1</f>
        <v>46000</v>
      </c>
      <c r="BH5" s="21" t="n">
        <f aca="false">BG5+1</f>
        <v>46001</v>
      </c>
      <c r="BI5" s="21" t="n">
        <f aca="false">BH5+1</f>
        <v>46002</v>
      </c>
      <c r="BJ5" s="21" t="n">
        <f aca="false">BI5+1</f>
        <v>46003</v>
      </c>
      <c r="BK5" s="21" t="n">
        <f aca="false">BJ5+1</f>
        <v>46004</v>
      </c>
      <c r="BL5" s="22" t="n">
        <f aca="false">BK5+1</f>
        <v>46005</v>
      </c>
      <c r="BM5" s="20" t="n">
        <f aca="false">BL5+1</f>
        <v>46006</v>
      </c>
      <c r="BN5" s="21" t="n">
        <f aca="false">BM5+1</f>
        <v>46007</v>
      </c>
      <c r="BO5" s="21" t="n">
        <f aca="false">BN5+1</f>
        <v>46008</v>
      </c>
      <c r="BP5" s="21" t="n">
        <f aca="false">BO5+1</f>
        <v>46009</v>
      </c>
      <c r="BQ5" s="21" t="n">
        <f aca="false">BP5+1</f>
        <v>46010</v>
      </c>
      <c r="BR5" s="21" t="n">
        <f aca="false">BQ5+1</f>
        <v>46011</v>
      </c>
      <c r="BS5" s="22" t="n">
        <f aca="false">BR5+1</f>
        <v>46012</v>
      </c>
      <c r="BT5" s="20" t="n">
        <f aca="false">BS5+1</f>
        <v>46013</v>
      </c>
      <c r="BU5" s="21" t="n">
        <f aca="false">BT5+1</f>
        <v>46014</v>
      </c>
      <c r="BV5" s="21" t="n">
        <f aca="false">BU5+1</f>
        <v>46015</v>
      </c>
      <c r="BW5" s="21" t="n">
        <f aca="false">BV5+1</f>
        <v>46016</v>
      </c>
      <c r="BX5" s="21" t="n">
        <f aca="false">BW5+1</f>
        <v>46017</v>
      </c>
      <c r="BY5" s="21" t="n">
        <f aca="false">BX5+1</f>
        <v>46018</v>
      </c>
      <c r="BZ5" s="22" t="n">
        <f aca="false">BY5+1</f>
        <v>46019</v>
      </c>
      <c r="CA5" s="20" t="n">
        <f aca="false">BZ5+1</f>
        <v>46020</v>
      </c>
      <c r="CB5" s="21" t="n">
        <f aca="false">CA5+1</f>
        <v>46021</v>
      </c>
      <c r="CC5" s="21" t="n">
        <f aca="false">CB5+1</f>
        <v>46022</v>
      </c>
      <c r="CD5" s="21" t="n">
        <f aca="false">CC5+1</f>
        <v>46023</v>
      </c>
      <c r="CE5" s="21" t="n">
        <f aca="false">CD5+1</f>
        <v>46024</v>
      </c>
      <c r="CF5" s="21" t="n">
        <f aca="false">CE5+1</f>
        <v>46025</v>
      </c>
      <c r="CG5" s="22" t="n">
        <f aca="false">CF5+1</f>
        <v>46026</v>
      </c>
      <c r="CH5" s="20" t="n">
        <f aca="false">CG5+1</f>
        <v>46027</v>
      </c>
      <c r="CI5" s="21" t="n">
        <f aca="false">CH5+1</f>
        <v>46028</v>
      </c>
      <c r="CJ5" s="21" t="n">
        <f aca="false">CI5+1</f>
        <v>46029</v>
      </c>
      <c r="CK5" s="21" t="n">
        <f aca="false">CJ5+1</f>
        <v>46030</v>
      </c>
      <c r="CL5" s="21" t="n">
        <f aca="false">CK5+1</f>
        <v>46031</v>
      </c>
      <c r="CM5" s="21" t="n">
        <f aca="false">CL5+1</f>
        <v>46032</v>
      </c>
      <c r="CN5" s="22" t="n">
        <f aca="false">CM5+1</f>
        <v>46033</v>
      </c>
      <c r="CO5" s="20" t="n">
        <f aca="false">CN5+1</f>
        <v>46034</v>
      </c>
      <c r="CP5" s="21" t="n">
        <f aca="false">CO5+1</f>
        <v>46035</v>
      </c>
      <c r="CQ5" s="21" t="n">
        <f aca="false">CP5+1</f>
        <v>46036</v>
      </c>
      <c r="CR5" s="21" t="n">
        <f aca="false">CQ5+1</f>
        <v>46037</v>
      </c>
      <c r="CS5" s="21" t="n">
        <f aca="false">CR5+1</f>
        <v>46038</v>
      </c>
      <c r="CT5" s="21" t="n">
        <f aca="false">CS5+1</f>
        <v>46039</v>
      </c>
      <c r="CU5" s="22" t="n">
        <f aca="false">CT5+1</f>
        <v>46040</v>
      </c>
      <c r="CV5" s="20" t="n">
        <f aca="false">CU5+1</f>
        <v>46041</v>
      </c>
      <c r="CW5" s="21" t="n">
        <f aca="false">CV5+1</f>
        <v>46042</v>
      </c>
      <c r="CX5" s="21" t="n">
        <f aca="false">CW5+1</f>
        <v>46043</v>
      </c>
      <c r="CY5" s="21" t="n">
        <f aca="false">CX5+1</f>
        <v>46044</v>
      </c>
      <c r="CZ5" s="21" t="n">
        <f aca="false">CY5+1</f>
        <v>46045</v>
      </c>
      <c r="DA5" s="21" t="n">
        <f aca="false">CZ5+1</f>
        <v>46046</v>
      </c>
      <c r="DB5" s="22" t="n">
        <f aca="false">DA5+1</f>
        <v>46047</v>
      </c>
      <c r="DC5" s="20" t="n">
        <f aca="false">DB5+1</f>
        <v>46048</v>
      </c>
      <c r="DD5" s="21" t="n">
        <f aca="false">DC5+1</f>
        <v>46049</v>
      </c>
      <c r="DE5" s="21" t="n">
        <f aca="false">DD5+1</f>
        <v>46050</v>
      </c>
      <c r="DF5" s="21" t="n">
        <f aca="false">DE5+1</f>
        <v>46051</v>
      </c>
      <c r="DG5" s="21" t="n">
        <f aca="false">DF5+1</f>
        <v>46052</v>
      </c>
      <c r="DH5" s="21" t="n">
        <f aca="false">DG5+1</f>
        <v>46053</v>
      </c>
      <c r="DI5" s="22" t="n">
        <f aca="false">DH5+1</f>
        <v>46054</v>
      </c>
      <c r="DJ5" s="20" t="n">
        <f aca="false">DI5+1</f>
        <v>46055</v>
      </c>
      <c r="DK5" s="21" t="n">
        <f aca="false">DJ5+1</f>
        <v>46056</v>
      </c>
      <c r="DL5" s="21" t="n">
        <f aca="false">DK5+1</f>
        <v>46057</v>
      </c>
      <c r="DM5" s="21" t="n">
        <f aca="false">DL5+1</f>
        <v>46058</v>
      </c>
      <c r="DN5" s="21" t="n">
        <f aca="false">DM5+1</f>
        <v>46059</v>
      </c>
      <c r="DO5" s="21" t="n">
        <f aca="false">DN5+1</f>
        <v>46060</v>
      </c>
      <c r="DP5" s="22" t="n">
        <f aca="false">DO5+1</f>
        <v>46061</v>
      </c>
    </row>
    <row r="6" customFormat="false" ht="30" hidden="false" customHeight="true" outlineLevel="0" collapsed="false">
      <c r="A6" s="4" t="s">
        <v>11</v>
      </c>
      <c r="B6" s="23" t="s">
        <v>12</v>
      </c>
      <c r="C6" s="24" t="s">
        <v>13</v>
      </c>
      <c r="D6" s="24" t="s">
        <v>14</v>
      </c>
      <c r="E6" s="24" t="s">
        <v>15</v>
      </c>
      <c r="F6" s="24" t="s">
        <v>16</v>
      </c>
      <c r="G6" s="24"/>
      <c r="H6" s="24" t="s">
        <v>17</v>
      </c>
      <c r="I6" s="25" t="str">
        <f aca="false">LEFT(TEXT(I5,"TTT"),1)</f>
        <v>M</v>
      </c>
      <c r="J6" s="25" t="str">
        <f aca="false">LEFT(TEXT(J5,"TTT"),1)</f>
        <v>D</v>
      </c>
      <c r="K6" s="25" t="str">
        <f aca="false">LEFT(TEXT(K5,"TTT"),1)</f>
        <v>M</v>
      </c>
      <c r="L6" s="25" t="str">
        <f aca="false">LEFT(TEXT(L5,"TTT"),1)</f>
        <v>D</v>
      </c>
      <c r="M6" s="25" t="str">
        <f aca="false">LEFT(TEXT(M5,"TTT"),1)</f>
        <v>F</v>
      </c>
      <c r="N6" s="25" t="str">
        <f aca="false">LEFT(TEXT(N5,"TTT"),1)</f>
        <v>S</v>
      </c>
      <c r="O6" s="25" t="str">
        <f aca="false">LEFT(TEXT(O5,"TTT"),1)</f>
        <v>S</v>
      </c>
      <c r="P6" s="25" t="str">
        <f aca="false">LEFT(TEXT(P5,"TTT"),1)</f>
        <v>M</v>
      </c>
      <c r="Q6" s="25" t="str">
        <f aca="false">LEFT(TEXT(Q5,"TTT"),1)</f>
        <v>D</v>
      </c>
      <c r="R6" s="25" t="str">
        <f aca="false">LEFT(TEXT(R5,"TTT"),1)</f>
        <v>M</v>
      </c>
      <c r="S6" s="25" t="str">
        <f aca="false">LEFT(TEXT(S5,"TTT"),1)</f>
        <v>D</v>
      </c>
      <c r="T6" s="25" t="str">
        <f aca="false">LEFT(TEXT(T5,"TTT"),1)</f>
        <v>F</v>
      </c>
      <c r="U6" s="25" t="str">
        <f aca="false">LEFT(TEXT(U5,"TTT"),1)</f>
        <v>S</v>
      </c>
      <c r="V6" s="25" t="str">
        <f aca="false">LEFT(TEXT(V5,"TTT"),1)</f>
        <v>S</v>
      </c>
      <c r="W6" s="25" t="str">
        <f aca="false">LEFT(TEXT(W5,"TTT"),1)</f>
        <v>M</v>
      </c>
      <c r="X6" s="25" t="str">
        <f aca="false">LEFT(TEXT(X5,"TTT"),1)</f>
        <v>D</v>
      </c>
      <c r="Y6" s="25" t="str">
        <f aca="false">LEFT(TEXT(Y5,"TTT"),1)</f>
        <v>M</v>
      </c>
      <c r="Z6" s="25" t="str">
        <f aca="false">LEFT(TEXT(Z5,"TTT"),1)</f>
        <v>D</v>
      </c>
      <c r="AA6" s="25" t="str">
        <f aca="false">LEFT(TEXT(AA5,"TTT"),1)</f>
        <v>F</v>
      </c>
      <c r="AB6" s="25" t="str">
        <f aca="false">LEFT(TEXT(AB5,"TTT"),1)</f>
        <v>S</v>
      </c>
      <c r="AC6" s="25" t="str">
        <f aca="false">LEFT(TEXT(AC5,"TTT"),1)</f>
        <v>S</v>
      </c>
      <c r="AD6" s="25" t="str">
        <f aca="false">LEFT(TEXT(AD5,"TTT"),1)</f>
        <v>M</v>
      </c>
      <c r="AE6" s="25" t="str">
        <f aca="false">LEFT(TEXT(AE5,"TTT"),1)</f>
        <v>D</v>
      </c>
      <c r="AF6" s="25" t="str">
        <f aca="false">LEFT(TEXT(AF5,"TTT"),1)</f>
        <v>M</v>
      </c>
      <c r="AG6" s="25" t="str">
        <f aca="false">LEFT(TEXT(AG5,"TTT"),1)</f>
        <v>D</v>
      </c>
      <c r="AH6" s="25" t="str">
        <f aca="false">LEFT(TEXT(AH5,"TTT"),1)</f>
        <v>F</v>
      </c>
      <c r="AI6" s="25" t="str">
        <f aca="false">LEFT(TEXT(AI5,"TTT"),1)</f>
        <v>S</v>
      </c>
      <c r="AJ6" s="25" t="str">
        <f aca="false">LEFT(TEXT(AJ5,"TTT"),1)</f>
        <v>S</v>
      </c>
      <c r="AK6" s="25" t="str">
        <f aca="false">LEFT(TEXT(AK5,"TTT"),1)</f>
        <v>M</v>
      </c>
      <c r="AL6" s="25" t="str">
        <f aca="false">LEFT(TEXT(AL5,"TTT"),1)</f>
        <v>D</v>
      </c>
      <c r="AM6" s="25" t="str">
        <f aca="false">LEFT(TEXT(AM5,"TTT"),1)</f>
        <v>M</v>
      </c>
      <c r="AN6" s="25" t="str">
        <f aca="false">LEFT(TEXT(AN5,"TTT"),1)</f>
        <v>D</v>
      </c>
      <c r="AO6" s="25" t="str">
        <f aca="false">LEFT(TEXT(AO5,"TTT"),1)</f>
        <v>F</v>
      </c>
      <c r="AP6" s="25" t="str">
        <f aca="false">LEFT(TEXT(AP5,"TTT"),1)</f>
        <v>S</v>
      </c>
      <c r="AQ6" s="25" t="str">
        <f aca="false">LEFT(TEXT(AQ5,"TTT"),1)</f>
        <v>S</v>
      </c>
      <c r="AR6" s="25" t="str">
        <f aca="false">LEFT(TEXT(AR5,"TTT"),1)</f>
        <v>M</v>
      </c>
      <c r="AS6" s="25" t="str">
        <f aca="false">LEFT(TEXT(AS5,"TTT"),1)</f>
        <v>D</v>
      </c>
      <c r="AT6" s="25" t="str">
        <f aca="false">LEFT(TEXT(AT5,"TTT"),1)</f>
        <v>M</v>
      </c>
      <c r="AU6" s="25" t="str">
        <f aca="false">LEFT(TEXT(AU5,"TTT"),1)</f>
        <v>D</v>
      </c>
      <c r="AV6" s="25" t="str">
        <f aca="false">LEFT(TEXT(AV5,"TTT"),1)</f>
        <v>F</v>
      </c>
      <c r="AW6" s="25" t="str">
        <f aca="false">LEFT(TEXT(AW5,"TTT"),1)</f>
        <v>S</v>
      </c>
      <c r="AX6" s="25" t="str">
        <f aca="false">LEFT(TEXT(AX5,"TTT"),1)</f>
        <v>S</v>
      </c>
      <c r="AY6" s="25" t="str">
        <f aca="false">LEFT(TEXT(AY5,"TTT"),1)</f>
        <v>M</v>
      </c>
      <c r="AZ6" s="25" t="str">
        <f aca="false">LEFT(TEXT(AZ5,"TTT"),1)</f>
        <v>D</v>
      </c>
      <c r="BA6" s="25" t="str">
        <f aca="false">LEFT(TEXT(BA5,"TTT"),1)</f>
        <v>M</v>
      </c>
      <c r="BB6" s="25" t="str">
        <f aca="false">LEFT(TEXT(BB5,"TTT"),1)</f>
        <v>D</v>
      </c>
      <c r="BC6" s="25" t="str">
        <f aca="false">LEFT(TEXT(BC5,"TTT"),1)</f>
        <v>F</v>
      </c>
      <c r="BD6" s="25" t="str">
        <f aca="false">LEFT(TEXT(BD5,"TTT"),1)</f>
        <v>S</v>
      </c>
      <c r="BE6" s="25" t="str">
        <f aca="false">LEFT(TEXT(BE5,"TTT"),1)</f>
        <v>S</v>
      </c>
      <c r="BF6" s="25" t="str">
        <f aca="false">LEFT(TEXT(BF5,"TTT"),1)</f>
        <v>M</v>
      </c>
      <c r="BG6" s="25" t="str">
        <f aca="false">LEFT(TEXT(BG5,"TTT"),1)</f>
        <v>D</v>
      </c>
      <c r="BH6" s="25" t="str">
        <f aca="false">LEFT(TEXT(BH5,"TTT"),1)</f>
        <v>M</v>
      </c>
      <c r="BI6" s="25" t="str">
        <f aca="false">LEFT(TEXT(BI5,"TTT"),1)</f>
        <v>D</v>
      </c>
      <c r="BJ6" s="25" t="str">
        <f aca="false">LEFT(TEXT(BJ5,"TTT"),1)</f>
        <v>F</v>
      </c>
      <c r="BK6" s="25" t="str">
        <f aca="false">LEFT(TEXT(BK5,"TTT"),1)</f>
        <v>S</v>
      </c>
      <c r="BL6" s="25" t="str">
        <f aca="false">LEFT(TEXT(BL5,"TTT"),1)</f>
        <v>S</v>
      </c>
      <c r="BM6" s="25" t="str">
        <f aca="false">LEFT(TEXT(BM5,"TTT"),1)</f>
        <v>M</v>
      </c>
      <c r="BN6" s="25" t="str">
        <f aca="false">LEFT(TEXT(BN5,"TTT"),1)</f>
        <v>D</v>
      </c>
      <c r="BO6" s="25" t="str">
        <f aca="false">LEFT(TEXT(BO5,"TTT"),1)</f>
        <v>M</v>
      </c>
      <c r="BP6" s="25" t="str">
        <f aca="false">LEFT(TEXT(BP5,"TTT"),1)</f>
        <v>D</v>
      </c>
      <c r="BQ6" s="25" t="str">
        <f aca="false">LEFT(TEXT(BQ5,"TTT"),1)</f>
        <v>F</v>
      </c>
      <c r="BR6" s="25" t="str">
        <f aca="false">LEFT(TEXT(BR5,"TTT"),1)</f>
        <v>S</v>
      </c>
      <c r="BS6" s="25" t="str">
        <f aca="false">LEFT(TEXT(BS5,"TTT"),1)</f>
        <v>S</v>
      </c>
      <c r="BT6" s="25" t="str">
        <f aca="false">LEFT(TEXT(BT5,"TTT"),1)</f>
        <v>M</v>
      </c>
      <c r="BU6" s="25" t="str">
        <f aca="false">LEFT(TEXT(BU5,"TTT"),1)</f>
        <v>D</v>
      </c>
      <c r="BV6" s="25" t="str">
        <f aca="false">LEFT(TEXT(BV5,"TTT"),1)</f>
        <v>M</v>
      </c>
      <c r="BW6" s="25" t="str">
        <f aca="false">LEFT(TEXT(BW5,"TTT"),1)</f>
        <v>D</v>
      </c>
      <c r="BX6" s="25" t="str">
        <f aca="false">LEFT(TEXT(BX5,"TTT"),1)</f>
        <v>F</v>
      </c>
      <c r="BY6" s="25" t="str">
        <f aca="false">LEFT(TEXT(BY5,"TTT"),1)</f>
        <v>S</v>
      </c>
      <c r="BZ6" s="25" t="str">
        <f aca="false">LEFT(TEXT(BZ5,"TTT"),1)</f>
        <v>S</v>
      </c>
      <c r="CA6" s="25" t="str">
        <f aca="false">LEFT(TEXT(CA5,"TTT"),1)</f>
        <v>M</v>
      </c>
      <c r="CB6" s="25" t="str">
        <f aca="false">LEFT(TEXT(CB5,"TTT"),1)</f>
        <v>D</v>
      </c>
      <c r="CC6" s="25" t="str">
        <f aca="false">LEFT(TEXT(CC5,"TTT"),1)</f>
        <v>M</v>
      </c>
      <c r="CD6" s="25" t="str">
        <f aca="false">LEFT(TEXT(CD5,"TTT"),1)</f>
        <v>D</v>
      </c>
      <c r="CE6" s="25" t="str">
        <f aca="false">LEFT(TEXT(CE5,"TTT"),1)</f>
        <v>F</v>
      </c>
      <c r="CF6" s="25" t="str">
        <f aca="false">LEFT(TEXT(CF5,"TTT"),1)</f>
        <v>S</v>
      </c>
      <c r="CG6" s="25" t="str">
        <f aca="false">LEFT(TEXT(CG5,"TTT"),1)</f>
        <v>S</v>
      </c>
      <c r="CH6" s="25" t="str">
        <f aca="false">LEFT(TEXT(CH5,"TTT"),1)</f>
        <v>M</v>
      </c>
      <c r="CI6" s="25" t="str">
        <f aca="false">LEFT(TEXT(CI5,"TTT"),1)</f>
        <v>D</v>
      </c>
      <c r="CJ6" s="25" t="str">
        <f aca="false">LEFT(TEXT(CJ5,"TTT"),1)</f>
        <v>M</v>
      </c>
      <c r="CK6" s="25" t="str">
        <f aca="false">LEFT(TEXT(CK5,"TTT"),1)</f>
        <v>D</v>
      </c>
      <c r="CL6" s="25" t="str">
        <f aca="false">LEFT(TEXT(CL5,"TTT"),1)</f>
        <v>F</v>
      </c>
      <c r="CM6" s="25" t="str">
        <f aca="false">LEFT(TEXT(CM5,"TTT"),1)</f>
        <v>S</v>
      </c>
      <c r="CN6" s="25" t="str">
        <f aca="false">LEFT(TEXT(CN5,"TTT"),1)</f>
        <v>S</v>
      </c>
      <c r="CO6" s="25" t="str">
        <f aca="false">LEFT(TEXT(CO5,"TTT"),1)</f>
        <v>M</v>
      </c>
      <c r="CP6" s="25" t="str">
        <f aca="false">LEFT(TEXT(CP5,"TTT"),1)</f>
        <v>D</v>
      </c>
      <c r="CQ6" s="25" t="str">
        <f aca="false">LEFT(TEXT(CQ5,"TTT"),1)</f>
        <v>M</v>
      </c>
      <c r="CR6" s="25" t="str">
        <f aca="false">LEFT(TEXT(CR5,"TTT"),1)</f>
        <v>D</v>
      </c>
      <c r="CS6" s="25" t="str">
        <f aca="false">LEFT(TEXT(CS5,"TTT"),1)</f>
        <v>F</v>
      </c>
      <c r="CT6" s="25" t="str">
        <f aca="false">LEFT(TEXT(CT5,"TTT"),1)</f>
        <v>S</v>
      </c>
      <c r="CU6" s="25" t="str">
        <f aca="false">LEFT(TEXT(CU5,"TTT"),1)</f>
        <v>S</v>
      </c>
      <c r="CV6" s="25" t="str">
        <f aca="false">LEFT(TEXT(CV5,"TTT"),1)</f>
        <v>M</v>
      </c>
      <c r="CW6" s="25" t="str">
        <f aca="false">LEFT(TEXT(CW5,"TTT"),1)</f>
        <v>D</v>
      </c>
      <c r="CX6" s="25" t="str">
        <f aca="false">LEFT(TEXT(CX5,"TTT"),1)</f>
        <v>M</v>
      </c>
      <c r="CY6" s="25" t="str">
        <f aca="false">LEFT(TEXT(CY5,"TTT"),1)</f>
        <v>D</v>
      </c>
      <c r="CZ6" s="25" t="str">
        <f aca="false">LEFT(TEXT(CZ5,"TTT"),1)</f>
        <v>F</v>
      </c>
      <c r="DA6" s="25" t="str">
        <f aca="false">LEFT(TEXT(DA5,"TTT"),1)</f>
        <v>S</v>
      </c>
      <c r="DB6" s="25" t="str">
        <f aca="false">LEFT(TEXT(DB5,"TTT"),1)</f>
        <v>S</v>
      </c>
      <c r="DC6" s="25" t="str">
        <f aca="false">LEFT(TEXT(DC5,"TTT"),1)</f>
        <v>M</v>
      </c>
      <c r="DD6" s="25" t="str">
        <f aca="false">LEFT(TEXT(DD5,"TTT"),1)</f>
        <v>D</v>
      </c>
      <c r="DE6" s="25" t="str">
        <f aca="false">LEFT(TEXT(DE5,"TTT"),1)</f>
        <v>M</v>
      </c>
      <c r="DF6" s="25" t="str">
        <f aca="false">LEFT(TEXT(DF5,"TTT"),1)</f>
        <v>D</v>
      </c>
      <c r="DG6" s="25" t="str">
        <f aca="false">LEFT(TEXT(DG5,"TTT"),1)</f>
        <v>F</v>
      </c>
      <c r="DH6" s="25" t="str">
        <f aca="false">LEFT(TEXT(DH5,"TTT"),1)</f>
        <v>S</v>
      </c>
      <c r="DI6" s="25" t="str">
        <f aca="false">LEFT(TEXT(DI5,"TTT"),1)</f>
        <v>S</v>
      </c>
      <c r="DJ6" s="25" t="str">
        <f aca="false">LEFT(TEXT(DJ5,"TTT"),1)</f>
        <v>M</v>
      </c>
      <c r="DK6" s="25" t="str">
        <f aca="false">LEFT(TEXT(DK5,"TTT"),1)</f>
        <v>D</v>
      </c>
      <c r="DL6" s="25" t="str">
        <f aca="false">LEFT(TEXT(DL5,"TTT"),1)</f>
        <v>M</v>
      </c>
      <c r="DM6" s="25" t="str">
        <f aca="false">LEFT(TEXT(DM5,"TTT"),1)</f>
        <v>D</v>
      </c>
      <c r="DN6" s="25" t="str">
        <f aca="false">LEFT(TEXT(DN5,"TTT"),1)</f>
        <v>F</v>
      </c>
      <c r="DO6" s="25" t="str">
        <f aca="false">LEFT(TEXT(DO5,"TTT"),1)</f>
        <v>S</v>
      </c>
      <c r="DP6" s="25" t="str">
        <f aca="false">LEFT(TEXT(DP5,"TTT"),1)</f>
        <v>S</v>
      </c>
    </row>
    <row r="7" customFormat="false" ht="30" hidden="true" customHeight="true" outlineLevel="0" collapsed="false">
      <c r="A7" s="1" t="s">
        <v>18</v>
      </c>
      <c r="C7" s="26"/>
      <c r="H7" s="2" t="str">
        <f aca="false">IF(OR(ISBLANK(task_start),ISBLANK(task_end)),"",task_end-task_start+1)</f>
        <v/>
      </c>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row>
    <row r="8" s="35" customFormat="true" ht="30" hidden="false" customHeight="true" outlineLevel="0" collapsed="false">
      <c r="A8" s="4" t="s">
        <v>19</v>
      </c>
      <c r="B8" s="28" t="s">
        <v>20</v>
      </c>
      <c r="C8" s="29" t="s">
        <v>21</v>
      </c>
      <c r="D8" s="30"/>
      <c r="E8" s="31"/>
      <c r="F8" s="32"/>
      <c r="G8" s="33"/>
      <c r="H8" s="33" t="str">
        <f aca="false">IF(OR(ISBLANK(task_start),ISBLANK(task_end)),"",task_end-task_start+1)</f>
        <v/>
      </c>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row>
    <row r="9" s="35" customFormat="true" ht="30" hidden="false" customHeight="true" outlineLevel="0" collapsed="false">
      <c r="A9" s="4" t="s">
        <v>22</v>
      </c>
      <c r="B9" s="36" t="s">
        <v>23</v>
      </c>
      <c r="C9" s="37"/>
      <c r="D9" s="38" t="n">
        <v>1</v>
      </c>
      <c r="E9" s="39" t="n">
        <f aca="false">Projektanfang</f>
        <v>45951</v>
      </c>
      <c r="F9" s="39" t="n">
        <f aca="false">E9+6</f>
        <v>45957</v>
      </c>
      <c r="G9" s="40"/>
      <c r="H9" s="40" t="n">
        <f aca="false">IF(OR(ISBLANK(task_start),ISBLANK(task_end)),"",task_end-task_start+1)</f>
        <v>7</v>
      </c>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row>
    <row r="10" s="35" customFormat="true" ht="30" hidden="false" customHeight="true" outlineLevel="0" collapsed="false">
      <c r="A10" s="4" t="s">
        <v>22</v>
      </c>
      <c r="B10" s="36" t="s">
        <v>24</v>
      </c>
      <c r="C10" s="37"/>
      <c r="D10" s="38" t="n">
        <v>1</v>
      </c>
      <c r="E10" s="39" t="n">
        <f aca="false">Projektanfang</f>
        <v>45951</v>
      </c>
      <c r="F10" s="39" t="n">
        <f aca="false">E10+6</f>
        <v>45957</v>
      </c>
      <c r="G10" s="40"/>
      <c r="H10" s="40" t="n">
        <f aca="false">IF(OR(ISBLANK(task_start),ISBLANK(task_end)),"",task_end-task_start+1)</f>
        <v>7</v>
      </c>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row>
    <row r="11" s="35" customFormat="true" ht="30" hidden="false" customHeight="true" outlineLevel="0" collapsed="false">
      <c r="A11" s="4" t="s">
        <v>25</v>
      </c>
      <c r="B11" s="42" t="s">
        <v>26</v>
      </c>
      <c r="C11" s="43" t="s">
        <v>27</v>
      </c>
      <c r="D11" s="44"/>
      <c r="E11" s="45"/>
      <c r="F11" s="46"/>
      <c r="G11" s="47"/>
      <c r="H11" s="47" t="str">
        <f aca="false">IF(OR(ISBLANK(task_start),ISBLANK(task_end)),"",task_end-task_start+1)</f>
        <v/>
      </c>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c r="BM11" s="48"/>
      <c r="BN11" s="48"/>
      <c r="BO11" s="48"/>
      <c r="BP11" s="48"/>
      <c r="BQ11" s="48"/>
      <c r="BR11" s="48"/>
      <c r="BS11" s="48"/>
      <c r="BT11" s="48"/>
      <c r="BU11" s="48"/>
      <c r="BV11" s="48"/>
      <c r="BW11" s="48"/>
      <c r="BX11" s="48"/>
      <c r="BY11" s="48"/>
      <c r="BZ11" s="48"/>
      <c r="CA11" s="48"/>
      <c r="CB11" s="48"/>
      <c r="CC11" s="48"/>
      <c r="CD11" s="48"/>
      <c r="CE11" s="48"/>
      <c r="CF11" s="48"/>
      <c r="CG11" s="48"/>
      <c r="CH11" s="48"/>
      <c r="CI11" s="48"/>
      <c r="CJ11" s="48"/>
      <c r="CK11" s="48"/>
      <c r="CL11" s="48"/>
      <c r="CM11" s="48"/>
      <c r="CN11" s="48"/>
      <c r="CO11" s="48"/>
      <c r="CP11" s="48"/>
      <c r="CQ11" s="48"/>
      <c r="CR11" s="48"/>
      <c r="CS11" s="48"/>
      <c r="CT11" s="48"/>
      <c r="CU11" s="48"/>
      <c r="CV11" s="48"/>
      <c r="CW11" s="48"/>
      <c r="CX11" s="48"/>
      <c r="CY11" s="48"/>
      <c r="CZ11" s="48"/>
      <c r="DA11" s="48"/>
      <c r="DB11" s="48"/>
      <c r="DC11" s="48"/>
      <c r="DD11" s="48"/>
      <c r="DE11" s="48"/>
      <c r="DF11" s="48"/>
      <c r="DG11" s="48"/>
      <c r="DH11" s="48"/>
      <c r="DI11" s="48"/>
      <c r="DJ11" s="48"/>
      <c r="DK11" s="48"/>
      <c r="DL11" s="48"/>
      <c r="DM11" s="48"/>
      <c r="DN11" s="48"/>
      <c r="DO11" s="48"/>
      <c r="DP11" s="48"/>
    </row>
    <row r="12" s="35" customFormat="true" ht="30" hidden="false" customHeight="true" outlineLevel="0" collapsed="false">
      <c r="A12" s="4"/>
      <c r="B12" s="49" t="s">
        <v>28</v>
      </c>
      <c r="C12" s="50"/>
      <c r="D12" s="51" t="n">
        <v>0.3</v>
      </c>
      <c r="E12" s="52" t="n">
        <f aca="false">F9+1</f>
        <v>45958</v>
      </c>
      <c r="F12" s="52" t="n">
        <f aca="false">E12+6</f>
        <v>45964</v>
      </c>
      <c r="G12" s="53"/>
      <c r="H12" s="53" t="n">
        <f aca="false">IF(OR(ISBLANK(task_start),ISBLANK(task_end)),"",task_end-task_start+1)</f>
        <v>7</v>
      </c>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4"/>
      <c r="DD12" s="54"/>
      <c r="DE12" s="54"/>
      <c r="DF12" s="54"/>
      <c r="DG12" s="54"/>
      <c r="DH12" s="54"/>
      <c r="DI12" s="54"/>
      <c r="DJ12" s="54"/>
      <c r="DK12" s="54"/>
      <c r="DL12" s="54"/>
      <c r="DM12" s="54"/>
      <c r="DN12" s="54"/>
      <c r="DO12" s="54"/>
      <c r="DP12" s="54"/>
    </row>
    <row r="13" s="35" customFormat="true" ht="30" hidden="false" customHeight="true" outlineLevel="0" collapsed="false">
      <c r="A13" s="1"/>
      <c r="B13" s="49" t="s">
        <v>29</v>
      </c>
      <c r="C13" s="50"/>
      <c r="D13" s="51" t="n">
        <v>0.6</v>
      </c>
      <c r="E13" s="52" t="n">
        <f aca="false">E12</f>
        <v>45958</v>
      </c>
      <c r="F13" s="52" t="n">
        <f aca="false">E13+6</f>
        <v>45964</v>
      </c>
      <c r="G13" s="53"/>
      <c r="H13" s="53" t="n">
        <f aca="false">IF(OR(ISBLANK(task_start),ISBLANK(task_end)),"",task_end-task_start+1)</f>
        <v>7</v>
      </c>
      <c r="I13" s="54"/>
      <c r="J13" s="54"/>
      <c r="K13" s="54"/>
      <c r="L13" s="54"/>
      <c r="M13" s="54"/>
      <c r="N13" s="54"/>
      <c r="O13" s="54"/>
      <c r="P13" s="54"/>
      <c r="Q13" s="54"/>
      <c r="R13" s="54"/>
      <c r="S13" s="54"/>
      <c r="T13" s="54"/>
      <c r="U13" s="55"/>
      <c r="V13" s="55"/>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c r="DA13" s="54"/>
      <c r="DB13" s="54"/>
      <c r="DC13" s="54"/>
      <c r="DD13" s="54"/>
      <c r="DE13" s="54"/>
      <c r="DF13" s="54"/>
      <c r="DG13" s="54"/>
      <c r="DH13" s="54"/>
      <c r="DI13" s="54"/>
      <c r="DJ13" s="54"/>
      <c r="DK13" s="54"/>
      <c r="DL13" s="54"/>
      <c r="DM13" s="54"/>
      <c r="DN13" s="54"/>
      <c r="DO13" s="54"/>
      <c r="DP13" s="54"/>
    </row>
    <row r="14" s="35" customFormat="true" ht="30" hidden="false" customHeight="true" outlineLevel="0" collapsed="false">
      <c r="A14" s="1" t="s">
        <v>30</v>
      </c>
      <c r="B14" s="56" t="s">
        <v>31</v>
      </c>
      <c r="C14" s="57" t="s">
        <v>32</v>
      </c>
      <c r="D14" s="58"/>
      <c r="E14" s="59"/>
      <c r="F14" s="60"/>
      <c r="G14" s="61"/>
      <c r="H14" s="61" t="str">
        <f aca="false">IF(OR(ISBLANK(task_start),ISBLANK(task_end)),"",task_end-task_start+1)</f>
        <v/>
      </c>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c r="BM14" s="62"/>
      <c r="BN14" s="62"/>
      <c r="BO14" s="62"/>
      <c r="BP14" s="62"/>
      <c r="BQ14" s="62"/>
      <c r="BR14" s="62"/>
      <c r="BS14" s="62"/>
      <c r="BT14" s="62"/>
      <c r="BU14" s="62"/>
      <c r="BV14" s="62"/>
      <c r="BW14" s="62"/>
      <c r="BX14" s="62"/>
      <c r="BY14" s="62"/>
      <c r="BZ14" s="62"/>
      <c r="CA14" s="62"/>
      <c r="CB14" s="62"/>
      <c r="CC14" s="62"/>
      <c r="CD14" s="62"/>
      <c r="CE14" s="62"/>
      <c r="CF14" s="62"/>
      <c r="CG14" s="62"/>
      <c r="CH14" s="62"/>
      <c r="CI14" s="62"/>
      <c r="CJ14" s="62"/>
      <c r="CK14" s="62"/>
      <c r="CL14" s="62"/>
      <c r="CM14" s="62"/>
      <c r="CN14" s="62"/>
      <c r="CO14" s="62"/>
      <c r="CP14" s="62"/>
      <c r="CQ14" s="62"/>
      <c r="CR14" s="62"/>
      <c r="CS14" s="62"/>
      <c r="CT14" s="62"/>
      <c r="CU14" s="62"/>
      <c r="CV14" s="62"/>
      <c r="CW14" s="62"/>
      <c r="CX14" s="62"/>
      <c r="CY14" s="62"/>
      <c r="CZ14" s="62"/>
      <c r="DA14" s="62"/>
      <c r="DB14" s="62"/>
      <c r="DC14" s="62"/>
      <c r="DD14" s="62"/>
      <c r="DE14" s="62"/>
      <c r="DF14" s="62"/>
      <c r="DG14" s="62"/>
      <c r="DH14" s="62"/>
      <c r="DI14" s="62"/>
      <c r="DJ14" s="62"/>
      <c r="DK14" s="62"/>
      <c r="DL14" s="62"/>
      <c r="DM14" s="62"/>
      <c r="DN14" s="62"/>
      <c r="DO14" s="62"/>
      <c r="DP14" s="62"/>
    </row>
    <row r="15" s="35" customFormat="true" ht="30" hidden="false" customHeight="true" outlineLevel="0" collapsed="false">
      <c r="A15" s="1"/>
      <c r="B15" s="63" t="s">
        <v>33</v>
      </c>
      <c r="C15" s="64"/>
      <c r="D15" s="65" t="n">
        <v>0</v>
      </c>
      <c r="E15" s="66" t="n">
        <f aca="false">F13+1</f>
        <v>45965</v>
      </c>
      <c r="F15" s="66" t="n">
        <f aca="false">E15+13</f>
        <v>45978</v>
      </c>
      <c r="G15" s="67"/>
      <c r="H15" s="67" t="n">
        <f aca="false">IF(OR(ISBLANK(task_start),ISBLANK(task_end)),"",task_end-task_start+1)</f>
        <v>14</v>
      </c>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68"/>
      <c r="CF15" s="68"/>
      <c r="CG15" s="68"/>
      <c r="CH15" s="68"/>
      <c r="CI15" s="68"/>
      <c r="CJ15" s="68"/>
      <c r="CK15" s="68"/>
      <c r="CL15" s="68"/>
      <c r="CM15" s="68"/>
      <c r="CN15" s="68"/>
      <c r="CO15" s="68"/>
      <c r="CP15" s="68"/>
      <c r="CQ15" s="68"/>
      <c r="CR15" s="68"/>
      <c r="CS15" s="68"/>
      <c r="CT15" s="68"/>
      <c r="CU15" s="68"/>
      <c r="CV15" s="68"/>
      <c r="CW15" s="68"/>
      <c r="CX15" s="68"/>
      <c r="CY15" s="68"/>
      <c r="CZ15" s="68"/>
      <c r="DA15" s="68"/>
      <c r="DB15" s="68"/>
      <c r="DC15" s="68"/>
      <c r="DD15" s="68"/>
      <c r="DE15" s="68"/>
      <c r="DF15" s="68"/>
      <c r="DG15" s="68"/>
      <c r="DH15" s="68"/>
      <c r="DI15" s="68"/>
      <c r="DJ15" s="68"/>
      <c r="DK15" s="68"/>
      <c r="DL15" s="68"/>
      <c r="DM15" s="68"/>
      <c r="DN15" s="68"/>
      <c r="DO15" s="68"/>
      <c r="DP15" s="68"/>
    </row>
    <row r="16" s="35" customFormat="true" ht="30" hidden="false" customHeight="true" outlineLevel="0" collapsed="false">
      <c r="A16" s="1"/>
      <c r="B16" s="63" t="s">
        <v>34</v>
      </c>
      <c r="C16" s="64"/>
      <c r="D16" s="65" t="n">
        <v>0</v>
      </c>
      <c r="E16" s="66" t="n">
        <f aca="false">E15+4</f>
        <v>45969</v>
      </c>
      <c r="F16" s="66" t="n">
        <f aca="false">E16+9</f>
        <v>45978</v>
      </c>
      <c r="G16" s="67"/>
      <c r="H16" s="67" t="n">
        <f aca="false">IF(OR(ISBLANK(task_start),ISBLANK(task_end)),"",task_end-task_start+1)</f>
        <v>10</v>
      </c>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68"/>
      <c r="CF16" s="68"/>
      <c r="CG16" s="68"/>
      <c r="CH16" s="68"/>
      <c r="CI16" s="68"/>
      <c r="CJ16" s="68"/>
      <c r="CK16" s="68"/>
      <c r="CL16" s="68"/>
      <c r="CM16" s="68"/>
      <c r="CN16" s="68"/>
      <c r="CO16" s="68"/>
      <c r="CP16" s="68"/>
      <c r="CQ16" s="68"/>
      <c r="CR16" s="68"/>
      <c r="CS16" s="68"/>
      <c r="CT16" s="68"/>
      <c r="CU16" s="68"/>
      <c r="CV16" s="68"/>
      <c r="CW16" s="68"/>
      <c r="CX16" s="68"/>
      <c r="CY16" s="68"/>
      <c r="CZ16" s="68"/>
      <c r="DA16" s="68"/>
      <c r="DB16" s="68"/>
      <c r="DC16" s="68"/>
      <c r="DD16" s="68"/>
      <c r="DE16" s="68"/>
      <c r="DF16" s="68"/>
      <c r="DG16" s="68"/>
      <c r="DH16" s="68"/>
      <c r="DI16" s="68"/>
      <c r="DJ16" s="68"/>
      <c r="DK16" s="68"/>
      <c r="DL16" s="68"/>
      <c r="DM16" s="68"/>
      <c r="DN16" s="68"/>
      <c r="DO16" s="68"/>
      <c r="DP16" s="68"/>
    </row>
    <row r="17" s="35" customFormat="true" ht="30" hidden="false" customHeight="true" outlineLevel="0" collapsed="false">
      <c r="A17" s="1" t="s">
        <v>30</v>
      </c>
      <c r="B17" s="69" t="s">
        <v>35</v>
      </c>
      <c r="C17" s="70" t="s">
        <v>36</v>
      </c>
      <c r="D17" s="71"/>
      <c r="E17" s="72"/>
      <c r="F17" s="73"/>
      <c r="G17" s="74"/>
      <c r="H17" s="74" t="str">
        <f aca="false">IF(OR(ISBLANK(task_start),ISBLANK(task_end)),"",task_end-task_start+1)</f>
        <v/>
      </c>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5"/>
      <c r="CD17" s="75"/>
      <c r="CE17" s="75"/>
      <c r="CF17" s="75"/>
      <c r="CG17" s="75"/>
      <c r="CH17" s="75"/>
      <c r="CI17" s="75"/>
      <c r="CJ17" s="75"/>
      <c r="CK17" s="75"/>
      <c r="CL17" s="75"/>
      <c r="CM17" s="75"/>
      <c r="CN17" s="75"/>
      <c r="CO17" s="75"/>
      <c r="CP17" s="75"/>
      <c r="CQ17" s="75"/>
      <c r="CR17" s="75"/>
      <c r="CS17" s="75"/>
      <c r="CT17" s="75"/>
      <c r="CU17" s="75"/>
      <c r="CV17" s="75"/>
      <c r="CW17" s="75"/>
      <c r="CX17" s="75"/>
      <c r="CY17" s="75"/>
      <c r="CZ17" s="75"/>
      <c r="DA17" s="75"/>
      <c r="DB17" s="75"/>
      <c r="DC17" s="75"/>
      <c r="DD17" s="75"/>
      <c r="DE17" s="75"/>
      <c r="DF17" s="75"/>
      <c r="DG17" s="75"/>
      <c r="DH17" s="75"/>
      <c r="DI17" s="75"/>
      <c r="DJ17" s="75"/>
      <c r="DK17" s="75"/>
      <c r="DL17" s="75"/>
      <c r="DM17" s="75"/>
      <c r="DN17" s="75"/>
      <c r="DO17" s="75"/>
      <c r="DP17" s="75"/>
    </row>
    <row r="18" s="35" customFormat="true" ht="30" hidden="false" customHeight="true" outlineLevel="0" collapsed="false">
      <c r="A18" s="1"/>
      <c r="B18" s="76" t="s">
        <v>37</v>
      </c>
      <c r="C18" s="77"/>
      <c r="D18" s="78" t="n">
        <v>0</v>
      </c>
      <c r="E18" s="79" t="n">
        <f aca="false">F16+1</f>
        <v>45979</v>
      </c>
      <c r="F18" s="79" t="n">
        <f aca="false">E18+6</f>
        <v>45985</v>
      </c>
      <c r="G18" s="80"/>
      <c r="H18" s="80" t="n">
        <f aca="false">IF(OR(ISBLANK(task_start),ISBLANK(task_end)),"",task_end-task_start+1)</f>
        <v>7</v>
      </c>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row>
    <row r="19" s="35" customFormat="true" ht="30" hidden="false" customHeight="true" outlineLevel="0" collapsed="false">
      <c r="A19" s="1"/>
      <c r="B19" s="76" t="s">
        <v>38</v>
      </c>
      <c r="C19" s="77"/>
      <c r="D19" s="78" t="n">
        <v>0</v>
      </c>
      <c r="E19" s="79" t="n">
        <f aca="false">F18</f>
        <v>45985</v>
      </c>
      <c r="F19" s="79" t="n">
        <f aca="false">E19+7</f>
        <v>45992</v>
      </c>
      <c r="G19" s="80"/>
      <c r="H19" s="80" t="n">
        <f aca="false">IF(OR(ISBLANK(task_start),ISBLANK(task_end)),"",task_end-task_start+1)</f>
        <v>8</v>
      </c>
      <c r="I19" s="81"/>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c r="BK19" s="81"/>
      <c r="BL19" s="81"/>
      <c r="BM19" s="81"/>
      <c r="BN19" s="81"/>
      <c r="BO19" s="81"/>
      <c r="BP19" s="81"/>
      <c r="BQ19" s="81"/>
      <c r="BR19" s="81"/>
      <c r="BS19" s="81"/>
      <c r="BT19" s="81"/>
      <c r="BU19" s="81"/>
      <c r="BV19" s="81"/>
      <c r="BW19" s="81"/>
      <c r="BX19" s="81"/>
      <c r="BY19" s="81"/>
      <c r="BZ19" s="81"/>
      <c r="CA19" s="81"/>
      <c r="CB19" s="81"/>
      <c r="CC19" s="81"/>
      <c r="CD19" s="81"/>
      <c r="CE19" s="81"/>
      <c r="CF19" s="81"/>
      <c r="CG19" s="81"/>
      <c r="CH19" s="81"/>
      <c r="CI19" s="81"/>
      <c r="CJ19" s="81"/>
      <c r="CK19" s="81"/>
      <c r="CL19" s="81"/>
      <c r="CM19" s="81"/>
      <c r="CN19" s="81"/>
      <c r="CO19" s="81"/>
      <c r="CP19" s="81"/>
      <c r="CQ19" s="81"/>
      <c r="CR19" s="81"/>
      <c r="CS19" s="81"/>
      <c r="CT19" s="81"/>
      <c r="CU19" s="81"/>
      <c r="CV19" s="81"/>
      <c r="CW19" s="81"/>
      <c r="CX19" s="81"/>
      <c r="CY19" s="81"/>
      <c r="CZ19" s="81"/>
      <c r="DA19" s="81"/>
      <c r="DB19" s="81"/>
      <c r="DC19" s="81"/>
      <c r="DD19" s="81"/>
      <c r="DE19" s="81"/>
      <c r="DF19" s="81"/>
      <c r="DG19" s="81"/>
      <c r="DH19" s="81"/>
      <c r="DI19" s="81"/>
      <c r="DJ19" s="81"/>
      <c r="DK19" s="81"/>
      <c r="DL19" s="81"/>
      <c r="DM19" s="81"/>
      <c r="DN19" s="81"/>
      <c r="DO19" s="81"/>
      <c r="DP19" s="81"/>
    </row>
    <row r="20" s="35" customFormat="true" ht="30" hidden="false" customHeight="true" outlineLevel="0" collapsed="false">
      <c r="A20" s="1" t="s">
        <v>30</v>
      </c>
      <c r="B20" s="82" t="s">
        <v>39</v>
      </c>
      <c r="C20" s="83" t="s">
        <v>40</v>
      </c>
      <c r="D20" s="84"/>
      <c r="E20" s="85"/>
      <c r="F20" s="86"/>
      <c r="G20" s="87"/>
      <c r="H20" s="87" t="str">
        <f aca="false">IF(OR(ISBLANK(task_start),ISBLANK(task_end)),"",task_end-task_start+1)</f>
        <v/>
      </c>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row>
    <row r="21" s="35" customFormat="true" ht="30" hidden="false" customHeight="true" outlineLevel="0" collapsed="false">
      <c r="A21" s="1"/>
      <c r="B21" s="89" t="s">
        <v>41</v>
      </c>
      <c r="C21" s="90"/>
      <c r="D21" s="91" t="n">
        <v>0</v>
      </c>
      <c r="E21" s="92" t="n">
        <f aca="false">F19+1</f>
        <v>45993</v>
      </c>
      <c r="F21" s="92" t="n">
        <f aca="false">E21+8</f>
        <v>46001</v>
      </c>
      <c r="G21" s="93"/>
      <c r="H21" s="93" t="n">
        <f aca="false">IF(OR(ISBLANK(task_start),ISBLANK(task_end)),"",task_end-task_start+1)</f>
        <v>9</v>
      </c>
      <c r="I21" s="94"/>
      <c r="J21" s="94"/>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c r="BC21" s="94"/>
      <c r="BD21" s="94"/>
      <c r="BE21" s="94"/>
      <c r="BF21" s="94"/>
      <c r="BG21" s="94"/>
      <c r="BH21" s="94"/>
      <c r="BI21" s="94"/>
      <c r="BJ21" s="94"/>
      <c r="BK21" s="94"/>
      <c r="BL21" s="94"/>
      <c r="BM21" s="94"/>
      <c r="BN21" s="94"/>
      <c r="BO21" s="94"/>
      <c r="BP21" s="94"/>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row>
    <row r="22" s="35" customFormat="true" ht="30" hidden="false" customHeight="true" outlineLevel="0" collapsed="false">
      <c r="A22" s="1"/>
      <c r="B22" s="89" t="s">
        <v>42</v>
      </c>
      <c r="C22" s="90"/>
      <c r="D22" s="91" t="n">
        <v>0</v>
      </c>
      <c r="E22" s="92" t="n">
        <f aca="false">E21+3</f>
        <v>45996</v>
      </c>
      <c r="F22" s="92" t="n">
        <f aca="false">E22+12</f>
        <v>46008</v>
      </c>
      <c r="G22" s="93"/>
      <c r="H22" s="93" t="n">
        <f aca="false">IF(OR(ISBLANK(task_start),ISBLANK(task_end)),"",task_end-task_start+1)</f>
        <v>13</v>
      </c>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row>
    <row r="23" s="35" customFormat="true" ht="30" hidden="false" customHeight="true" outlineLevel="0" collapsed="false">
      <c r="A23" s="1" t="s">
        <v>30</v>
      </c>
      <c r="B23" s="95" t="s">
        <v>43</v>
      </c>
      <c r="C23" s="96" t="s">
        <v>44</v>
      </c>
      <c r="D23" s="97"/>
      <c r="E23" s="98"/>
      <c r="F23" s="99"/>
      <c r="G23" s="100"/>
      <c r="H23" s="100" t="str">
        <f aca="false">IF(OR(ISBLANK(task_start),ISBLANK(task_end)),"",task_end-task_start+1)</f>
        <v/>
      </c>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1"/>
      <c r="CD23" s="101"/>
      <c r="CE23" s="101"/>
      <c r="CF23" s="101"/>
      <c r="CG23" s="101"/>
      <c r="CH23" s="101"/>
      <c r="CI23" s="101"/>
      <c r="CJ23" s="101"/>
      <c r="CK23" s="101"/>
      <c r="CL23" s="101"/>
      <c r="CM23" s="101"/>
      <c r="CN23" s="101"/>
      <c r="CO23" s="101"/>
      <c r="CP23" s="101"/>
      <c r="CQ23" s="101"/>
      <c r="CR23" s="101"/>
      <c r="CS23" s="101"/>
      <c r="CT23" s="101"/>
      <c r="CU23" s="101"/>
      <c r="CV23" s="101"/>
      <c r="CW23" s="101"/>
      <c r="CX23" s="101"/>
      <c r="CY23" s="101"/>
      <c r="CZ23" s="101"/>
      <c r="DA23" s="101"/>
      <c r="DB23" s="101"/>
      <c r="DC23" s="101"/>
      <c r="DD23" s="101"/>
      <c r="DE23" s="101"/>
      <c r="DF23" s="101"/>
      <c r="DG23" s="101"/>
      <c r="DH23" s="101"/>
      <c r="DI23" s="101"/>
      <c r="DJ23" s="101"/>
      <c r="DK23" s="101"/>
      <c r="DL23" s="101"/>
      <c r="DM23" s="101"/>
      <c r="DN23" s="101"/>
      <c r="DO23" s="101"/>
      <c r="DP23" s="101"/>
    </row>
    <row r="24" s="35" customFormat="true" ht="30" hidden="false" customHeight="true" outlineLevel="0" collapsed="false">
      <c r="A24" s="1"/>
      <c r="B24" s="102" t="s">
        <v>45</v>
      </c>
      <c r="C24" s="103"/>
      <c r="D24" s="104" t="n">
        <v>0</v>
      </c>
      <c r="E24" s="105" t="n">
        <f aca="false">F22+1</f>
        <v>46009</v>
      </c>
      <c r="F24" s="105" t="n">
        <f aca="false">E24+5</f>
        <v>46014</v>
      </c>
      <c r="G24" s="106"/>
      <c r="H24" s="106" t="n">
        <f aca="false">IF(OR(ISBLANK(task_start),ISBLANK(task_end)),"",task_end-task_start+1)</f>
        <v>6</v>
      </c>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c r="AM24" s="107"/>
      <c r="AN24" s="107"/>
      <c r="AO24" s="107"/>
      <c r="AP24" s="107"/>
      <c r="AQ24" s="107"/>
      <c r="AR24" s="107"/>
      <c r="AS24" s="107"/>
      <c r="AT24" s="107"/>
      <c r="AU24" s="107"/>
      <c r="AV24" s="107"/>
      <c r="AW24" s="107"/>
      <c r="AX24" s="107"/>
      <c r="AY24" s="107"/>
      <c r="AZ24" s="107"/>
      <c r="BA24" s="107"/>
      <c r="BB24" s="107"/>
      <c r="BC24" s="107"/>
      <c r="BD24" s="107"/>
      <c r="BE24" s="107"/>
      <c r="BF24" s="107"/>
      <c r="BG24" s="107"/>
      <c r="BH24" s="107"/>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c r="CY24" s="107"/>
      <c r="CZ24" s="107"/>
      <c r="DA24" s="107"/>
      <c r="DB24" s="107"/>
      <c r="DC24" s="107"/>
      <c r="DD24" s="107"/>
      <c r="DE24" s="107"/>
      <c r="DF24" s="107"/>
      <c r="DG24" s="107"/>
      <c r="DH24" s="107"/>
      <c r="DI24" s="107"/>
      <c r="DJ24" s="107"/>
      <c r="DK24" s="107"/>
      <c r="DL24" s="107"/>
      <c r="DM24" s="107"/>
      <c r="DN24" s="107"/>
      <c r="DO24" s="107"/>
      <c r="DP24" s="107"/>
    </row>
    <row r="25" s="35" customFormat="true" ht="30" hidden="false" customHeight="true" outlineLevel="0" collapsed="false">
      <c r="A25" s="1"/>
      <c r="B25" s="102" t="s">
        <v>46</v>
      </c>
      <c r="C25" s="103"/>
      <c r="D25" s="104" t="n">
        <v>0</v>
      </c>
      <c r="E25" s="105" t="n">
        <f aca="false">E24+15</f>
        <v>46024</v>
      </c>
      <c r="F25" s="105" t="n">
        <f aca="false">E25+14</f>
        <v>46038</v>
      </c>
      <c r="G25" s="106"/>
      <c r="H25" s="106" t="n">
        <f aca="false">IF(OR(ISBLANK(task_start),ISBLANK(task_end)),"",task_end-task_start+1)</f>
        <v>15</v>
      </c>
      <c r="I25" s="107"/>
      <c r="J25" s="107"/>
      <c r="K25" s="107"/>
      <c r="L25" s="107"/>
      <c r="M25" s="107"/>
      <c r="N25" s="107"/>
      <c r="O25" s="107"/>
      <c r="P25" s="107"/>
      <c r="Q25" s="107"/>
      <c r="R25" s="107"/>
      <c r="S25" s="107"/>
      <c r="T25" s="107"/>
      <c r="U25" s="107"/>
      <c r="V25" s="107"/>
      <c r="W25" s="107"/>
      <c r="X25" s="107"/>
      <c r="Y25" s="107"/>
      <c r="Z25" s="107"/>
      <c r="AA25" s="107"/>
      <c r="AB25" s="107"/>
      <c r="AC25" s="107"/>
      <c r="AD25" s="107"/>
      <c r="AE25" s="107"/>
      <c r="AF25" s="107"/>
      <c r="AG25" s="107"/>
      <c r="AH25" s="107"/>
      <c r="AI25" s="107"/>
      <c r="AJ25" s="107"/>
      <c r="AK25" s="107"/>
      <c r="AL25" s="107"/>
      <c r="AM25" s="107"/>
      <c r="AN25" s="107"/>
      <c r="AO25" s="107"/>
      <c r="AP25" s="107"/>
      <c r="AQ25" s="107"/>
      <c r="AR25" s="107"/>
      <c r="AS25" s="107"/>
      <c r="AT25" s="107"/>
      <c r="AU25" s="107"/>
      <c r="AV25" s="107"/>
      <c r="AW25" s="107"/>
      <c r="AX25" s="107"/>
      <c r="AY25" s="107"/>
      <c r="AZ25" s="107"/>
      <c r="BA25" s="107"/>
      <c r="BB25" s="107"/>
      <c r="BC25" s="107"/>
      <c r="BD25" s="107"/>
      <c r="BE25" s="107"/>
      <c r="BF25" s="107"/>
      <c r="BG25" s="107"/>
      <c r="BH25" s="107"/>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c r="CY25" s="107"/>
      <c r="CZ25" s="107"/>
      <c r="DA25" s="107"/>
      <c r="DB25" s="107"/>
      <c r="DC25" s="107"/>
      <c r="DD25" s="107"/>
      <c r="DE25" s="107"/>
      <c r="DF25" s="107"/>
      <c r="DG25" s="107"/>
      <c r="DH25" s="107"/>
      <c r="DI25" s="107"/>
      <c r="DJ25" s="107"/>
      <c r="DK25" s="107"/>
      <c r="DL25" s="107"/>
      <c r="DM25" s="107"/>
      <c r="DN25" s="107"/>
      <c r="DO25" s="107"/>
      <c r="DP25" s="107"/>
    </row>
    <row r="26" s="35" customFormat="true" ht="30" hidden="false" customHeight="true" outlineLevel="0" collapsed="false">
      <c r="A26" s="1" t="s">
        <v>30</v>
      </c>
      <c r="B26" s="108" t="s">
        <v>47</v>
      </c>
      <c r="C26" s="109" t="s">
        <v>48</v>
      </c>
      <c r="D26" s="110"/>
      <c r="E26" s="111"/>
      <c r="F26" s="112"/>
      <c r="G26" s="113"/>
      <c r="H26" s="113" t="str">
        <f aca="false">IF(OR(ISBLANK(task_start),ISBLANK(task_end)),"",task_end-task_start+1)</f>
        <v/>
      </c>
      <c r="I26" s="114"/>
      <c r="J26" s="114"/>
      <c r="K26" s="114"/>
      <c r="L26" s="114"/>
      <c r="M26" s="114"/>
      <c r="N26" s="114"/>
      <c r="O26" s="114"/>
      <c r="P26" s="114"/>
      <c r="Q26" s="114"/>
      <c r="R26" s="114"/>
      <c r="S26" s="114"/>
      <c r="T26" s="114"/>
      <c r="U26" s="114"/>
      <c r="V26" s="114"/>
      <c r="W26" s="114"/>
      <c r="X26" s="114"/>
      <c r="Y26" s="114"/>
      <c r="Z26" s="114"/>
      <c r="AA26" s="114"/>
      <c r="AB26" s="114"/>
      <c r="AC26" s="114"/>
      <c r="AD26" s="114"/>
      <c r="AE26" s="114"/>
      <c r="AF26" s="114"/>
      <c r="AG26" s="114"/>
      <c r="AH26" s="114"/>
      <c r="AI26" s="114"/>
      <c r="AJ26" s="114"/>
      <c r="AK26" s="114"/>
      <c r="AL26" s="114"/>
      <c r="AM26" s="114"/>
      <c r="AN26" s="114"/>
      <c r="AO26" s="114"/>
      <c r="AP26" s="114"/>
      <c r="AQ26" s="114"/>
      <c r="AR26" s="114"/>
      <c r="AS26" s="114"/>
      <c r="AT26" s="114"/>
      <c r="AU26" s="114"/>
      <c r="AV26" s="114"/>
      <c r="AW26" s="114"/>
      <c r="AX26" s="114"/>
      <c r="AY26" s="114"/>
      <c r="AZ26" s="114"/>
      <c r="BA26" s="114"/>
      <c r="BB26" s="114"/>
      <c r="BC26" s="114"/>
      <c r="BD26" s="114"/>
      <c r="BE26" s="114"/>
      <c r="BF26" s="114"/>
      <c r="BG26" s="114"/>
      <c r="BH26" s="114"/>
      <c r="BI26" s="114"/>
      <c r="BJ26" s="114"/>
      <c r="BK26" s="114"/>
      <c r="BL26" s="114"/>
      <c r="BM26" s="114"/>
      <c r="BN26" s="114"/>
      <c r="BO26" s="114"/>
      <c r="BP26" s="114"/>
      <c r="BQ26" s="114"/>
      <c r="BR26" s="114"/>
      <c r="BS26" s="114"/>
      <c r="BT26" s="114"/>
      <c r="BU26" s="114"/>
      <c r="BV26" s="114"/>
      <c r="BW26" s="114"/>
      <c r="BX26" s="114"/>
      <c r="BY26" s="114"/>
      <c r="BZ26" s="114"/>
      <c r="CA26" s="114"/>
      <c r="CB26" s="114"/>
      <c r="CC26" s="114"/>
      <c r="CD26" s="114"/>
      <c r="CE26" s="114"/>
      <c r="CF26" s="114"/>
      <c r="CG26" s="114"/>
      <c r="CH26" s="114"/>
      <c r="CI26" s="114"/>
      <c r="CJ26" s="114"/>
      <c r="CK26" s="114"/>
      <c r="CL26" s="114"/>
      <c r="CM26" s="114"/>
      <c r="CN26" s="114"/>
      <c r="CO26" s="114"/>
      <c r="CP26" s="114"/>
      <c r="CQ26" s="114"/>
      <c r="CR26" s="114"/>
      <c r="CS26" s="114"/>
      <c r="CT26" s="114"/>
      <c r="CU26" s="114"/>
      <c r="CV26" s="114"/>
      <c r="CW26" s="114"/>
      <c r="CX26" s="114"/>
      <c r="CY26" s="114"/>
      <c r="CZ26" s="114"/>
      <c r="DA26" s="114"/>
      <c r="DB26" s="114"/>
      <c r="DC26" s="114"/>
      <c r="DD26" s="114"/>
      <c r="DE26" s="114"/>
      <c r="DF26" s="114"/>
      <c r="DG26" s="114"/>
      <c r="DH26" s="114"/>
      <c r="DI26" s="114"/>
      <c r="DJ26" s="114"/>
      <c r="DK26" s="114"/>
      <c r="DL26" s="114"/>
      <c r="DM26" s="114"/>
      <c r="DN26" s="114"/>
      <c r="DO26" s="114"/>
      <c r="DP26" s="114"/>
    </row>
    <row r="27" s="35" customFormat="true" ht="30" hidden="false" customHeight="true" outlineLevel="0" collapsed="false">
      <c r="A27" s="1"/>
      <c r="B27" s="115" t="s">
        <v>49</v>
      </c>
      <c r="C27" s="116"/>
      <c r="D27" s="117" t="n">
        <v>0</v>
      </c>
      <c r="E27" s="118" t="n">
        <f aca="false">F25+1</f>
        <v>46039</v>
      </c>
      <c r="F27" s="118" t="n">
        <f aca="false">E27+7</f>
        <v>46046</v>
      </c>
      <c r="G27" s="119"/>
      <c r="H27" s="119" t="n">
        <f aca="false">IF(OR(ISBLANK(task_start),ISBLANK(task_end)),"",task_end-task_start+1)</f>
        <v>8</v>
      </c>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c r="BY27" s="120"/>
      <c r="BZ27" s="120"/>
      <c r="CA27" s="120"/>
      <c r="CB27" s="120"/>
      <c r="CC27" s="120"/>
      <c r="CD27" s="120"/>
      <c r="CE27" s="120"/>
      <c r="CF27" s="120"/>
      <c r="CG27" s="120"/>
      <c r="CH27" s="120"/>
      <c r="CI27" s="120"/>
      <c r="CJ27" s="120"/>
      <c r="CK27" s="120"/>
      <c r="CL27" s="120"/>
      <c r="CM27" s="120"/>
      <c r="CN27" s="120"/>
      <c r="CO27" s="120"/>
      <c r="CP27" s="120"/>
      <c r="CQ27" s="120"/>
      <c r="CR27" s="120"/>
      <c r="CS27" s="120"/>
      <c r="CT27" s="120"/>
      <c r="CU27" s="120"/>
      <c r="CV27" s="120"/>
      <c r="CW27" s="120"/>
      <c r="CX27" s="120"/>
      <c r="CY27" s="120"/>
      <c r="CZ27" s="120"/>
      <c r="DA27" s="120"/>
      <c r="DB27" s="120"/>
      <c r="DC27" s="120"/>
      <c r="DD27" s="120"/>
      <c r="DE27" s="120"/>
      <c r="DF27" s="120"/>
      <c r="DG27" s="120"/>
      <c r="DH27" s="120"/>
      <c r="DI27" s="120"/>
      <c r="DJ27" s="120"/>
      <c r="DK27" s="120"/>
      <c r="DL27" s="120"/>
      <c r="DM27" s="120"/>
      <c r="DN27" s="120"/>
      <c r="DO27" s="120"/>
      <c r="DP27" s="120"/>
    </row>
    <row r="28" s="35" customFormat="true" ht="30" hidden="false" customHeight="true" outlineLevel="0" collapsed="false">
      <c r="A28" s="1"/>
      <c r="B28" s="115" t="s">
        <v>50</v>
      </c>
      <c r="C28" s="116"/>
      <c r="D28" s="117" t="n">
        <v>0</v>
      </c>
      <c r="E28" s="118" t="n">
        <f aca="false">F27</f>
        <v>46046</v>
      </c>
      <c r="F28" s="118" t="n">
        <f aca="false">E28+4</f>
        <v>46050</v>
      </c>
      <c r="G28" s="119"/>
      <c r="H28" s="119" t="n">
        <f aca="false">IF(OR(ISBLANK(task_start),ISBLANK(task_end)),"",task_end-task_start+1)</f>
        <v>5</v>
      </c>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c r="BY28" s="120"/>
      <c r="BZ28" s="120"/>
      <c r="CA28" s="120"/>
      <c r="CB28" s="120"/>
      <c r="CC28" s="120"/>
      <c r="CD28" s="120"/>
      <c r="CE28" s="120"/>
      <c r="CF28" s="120"/>
      <c r="CG28" s="120"/>
      <c r="CH28" s="120"/>
      <c r="CI28" s="120"/>
      <c r="CJ28" s="120"/>
      <c r="CK28" s="120"/>
      <c r="CL28" s="120"/>
      <c r="CM28" s="120"/>
      <c r="CN28" s="120"/>
      <c r="CO28" s="120"/>
      <c r="CP28" s="120"/>
      <c r="CQ28" s="120"/>
      <c r="CR28" s="120"/>
      <c r="CS28" s="120"/>
      <c r="CT28" s="120"/>
      <c r="CU28" s="120"/>
      <c r="CV28" s="120"/>
      <c r="CW28" s="120"/>
      <c r="CX28" s="120"/>
      <c r="CY28" s="120"/>
      <c r="CZ28" s="120"/>
      <c r="DA28" s="120"/>
      <c r="DB28" s="120"/>
      <c r="DC28" s="120"/>
      <c r="DD28" s="120"/>
      <c r="DE28" s="120"/>
      <c r="DF28" s="120"/>
      <c r="DG28" s="120"/>
      <c r="DH28" s="120"/>
      <c r="DI28" s="120"/>
      <c r="DJ28" s="120"/>
      <c r="DK28" s="120"/>
      <c r="DL28" s="120"/>
      <c r="DM28" s="120"/>
      <c r="DN28" s="120"/>
      <c r="DO28" s="120"/>
      <c r="DP28" s="120"/>
    </row>
    <row r="29" s="35" customFormat="true" ht="30" hidden="false" customHeight="true" outlineLevel="0" collapsed="false">
      <c r="A29" s="1" t="s">
        <v>30</v>
      </c>
      <c r="B29" s="121" t="s">
        <v>51</v>
      </c>
      <c r="C29" s="122" t="s">
        <v>44</v>
      </c>
      <c r="D29" s="123"/>
      <c r="E29" s="124"/>
      <c r="F29" s="125"/>
      <c r="G29" s="126"/>
      <c r="H29" s="126" t="str">
        <f aca="false">IF(OR(ISBLANK(task_start),ISBLANK(task_end)),"",task_end-task_start+1)</f>
        <v/>
      </c>
      <c r="I29" s="127"/>
      <c r="J29" s="127"/>
      <c r="K29" s="127"/>
      <c r="L29" s="127"/>
      <c r="M29" s="127"/>
      <c r="N29" s="127"/>
      <c r="O29" s="127"/>
      <c r="P29" s="127"/>
      <c r="Q29" s="127"/>
      <c r="R29" s="127"/>
      <c r="S29" s="127"/>
      <c r="T29" s="127"/>
      <c r="U29" s="127"/>
      <c r="V29" s="127"/>
      <c r="W29" s="127"/>
      <c r="X29" s="127"/>
      <c r="Y29" s="127"/>
      <c r="Z29" s="127"/>
      <c r="AA29" s="127"/>
      <c r="AB29" s="127"/>
      <c r="AC29" s="127"/>
      <c r="AD29" s="127"/>
      <c r="AE29" s="127"/>
      <c r="AF29" s="127"/>
      <c r="AG29" s="127"/>
      <c r="AH29" s="127"/>
      <c r="AI29" s="127"/>
      <c r="AJ29" s="127"/>
      <c r="AK29" s="127"/>
      <c r="AL29" s="127"/>
      <c r="AM29" s="127"/>
      <c r="AN29" s="127"/>
      <c r="AO29" s="127"/>
      <c r="AP29" s="127"/>
      <c r="AQ29" s="127"/>
      <c r="AR29" s="127"/>
      <c r="AS29" s="127"/>
      <c r="AT29" s="127"/>
      <c r="AU29" s="127"/>
      <c r="AV29" s="127"/>
      <c r="AW29" s="127"/>
      <c r="AX29" s="127"/>
      <c r="AY29" s="127"/>
      <c r="AZ29" s="127"/>
      <c r="BA29" s="127"/>
      <c r="BB29" s="127"/>
      <c r="BC29" s="127"/>
      <c r="BD29" s="127"/>
      <c r="BE29" s="127"/>
      <c r="BF29" s="127"/>
      <c r="BG29" s="127"/>
      <c r="BH29" s="127"/>
      <c r="BI29" s="127"/>
      <c r="BJ29" s="127"/>
      <c r="BK29" s="127"/>
      <c r="BL29" s="127"/>
      <c r="BM29" s="127"/>
      <c r="BN29" s="127"/>
      <c r="BO29" s="127"/>
      <c r="BP29" s="127"/>
      <c r="BQ29" s="127"/>
      <c r="BR29" s="127"/>
      <c r="BS29" s="127"/>
      <c r="BT29" s="127"/>
      <c r="BU29" s="127"/>
      <c r="BV29" s="127"/>
      <c r="BW29" s="127"/>
      <c r="BX29" s="127"/>
      <c r="BY29" s="127"/>
      <c r="BZ29" s="127"/>
      <c r="CA29" s="127"/>
      <c r="CB29" s="127"/>
      <c r="CC29" s="127"/>
      <c r="CD29" s="127"/>
      <c r="CE29" s="127"/>
      <c r="CF29" s="127"/>
      <c r="CG29" s="127"/>
      <c r="CH29" s="127"/>
      <c r="CI29" s="127"/>
      <c r="CJ29" s="127"/>
      <c r="CK29" s="127"/>
      <c r="CL29" s="127"/>
      <c r="CM29" s="127"/>
      <c r="CN29" s="127"/>
      <c r="CO29" s="127"/>
      <c r="CP29" s="127"/>
      <c r="CQ29" s="127"/>
      <c r="CR29" s="127"/>
      <c r="CS29" s="127"/>
      <c r="CT29" s="127"/>
      <c r="CU29" s="127"/>
      <c r="CV29" s="127"/>
      <c r="CW29" s="127"/>
      <c r="CX29" s="127"/>
      <c r="CY29" s="127"/>
      <c r="CZ29" s="127"/>
      <c r="DA29" s="127"/>
      <c r="DB29" s="127"/>
      <c r="DC29" s="127"/>
      <c r="DD29" s="127"/>
      <c r="DE29" s="127"/>
      <c r="DF29" s="127"/>
      <c r="DG29" s="127"/>
      <c r="DH29" s="127"/>
      <c r="DI29" s="127"/>
      <c r="DJ29" s="127"/>
      <c r="DK29" s="127"/>
      <c r="DL29" s="127"/>
      <c r="DM29" s="127"/>
      <c r="DN29" s="127"/>
      <c r="DO29" s="127"/>
      <c r="DP29" s="127"/>
    </row>
    <row r="30" s="35" customFormat="true" ht="30" hidden="false" customHeight="true" outlineLevel="0" collapsed="false">
      <c r="A30" s="1"/>
      <c r="B30" s="128" t="s">
        <v>52</v>
      </c>
      <c r="C30" s="129"/>
      <c r="D30" s="130" t="n">
        <v>0</v>
      </c>
      <c r="E30" s="131" t="n">
        <f aca="false">F28+1</f>
        <v>46051</v>
      </c>
      <c r="F30" s="131" t="n">
        <f aca="false">E30+9</f>
        <v>46060</v>
      </c>
      <c r="G30" s="132"/>
      <c r="H30" s="132" t="n">
        <f aca="false">IF(OR(ISBLANK(task_start),ISBLANK(task_end)),"",task_end-task_start+1)</f>
        <v>10</v>
      </c>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133"/>
      <c r="BB30" s="133"/>
      <c r="BC30" s="133"/>
      <c r="BD30" s="133"/>
      <c r="BE30" s="133"/>
      <c r="BF30" s="133"/>
      <c r="BG30" s="133"/>
      <c r="BH30" s="133"/>
      <c r="BI30" s="133"/>
      <c r="BJ30" s="133"/>
      <c r="BK30" s="133"/>
      <c r="BL30" s="133"/>
      <c r="BM30" s="133"/>
      <c r="BN30" s="133"/>
      <c r="BO30" s="133"/>
      <c r="BP30" s="133"/>
      <c r="BQ30" s="133"/>
      <c r="BR30" s="133"/>
      <c r="BS30" s="133"/>
      <c r="BT30" s="133"/>
      <c r="BU30" s="133"/>
      <c r="BV30" s="133"/>
      <c r="BW30" s="133"/>
      <c r="BX30" s="133"/>
      <c r="BY30" s="133"/>
      <c r="BZ30" s="133"/>
      <c r="CA30" s="133"/>
      <c r="CB30" s="133"/>
      <c r="CC30" s="133"/>
      <c r="CD30" s="133"/>
      <c r="CE30" s="133"/>
      <c r="CF30" s="133"/>
      <c r="CG30" s="133"/>
      <c r="CH30" s="133"/>
      <c r="CI30" s="133"/>
      <c r="CJ30" s="133"/>
      <c r="CK30" s="133"/>
      <c r="CL30" s="133"/>
      <c r="CM30" s="133"/>
      <c r="CN30" s="133"/>
      <c r="CO30" s="133"/>
      <c r="CP30" s="133"/>
      <c r="CQ30" s="133"/>
      <c r="CR30" s="133"/>
      <c r="CS30" s="133"/>
      <c r="CT30" s="133"/>
      <c r="CU30" s="133"/>
      <c r="CV30" s="133"/>
      <c r="CW30" s="133"/>
      <c r="CX30" s="133"/>
      <c r="CY30" s="133"/>
      <c r="CZ30" s="133"/>
      <c r="DA30" s="133"/>
      <c r="DB30" s="133"/>
      <c r="DC30" s="133"/>
      <c r="DD30" s="133"/>
      <c r="DE30" s="133"/>
      <c r="DF30" s="133"/>
      <c r="DG30" s="133"/>
      <c r="DH30" s="133"/>
      <c r="DI30" s="133"/>
      <c r="DJ30" s="133"/>
      <c r="DK30" s="133"/>
      <c r="DL30" s="133"/>
      <c r="DM30" s="133"/>
      <c r="DN30" s="133"/>
      <c r="DO30" s="133"/>
      <c r="DP30" s="133"/>
    </row>
  </sheetData>
  <mergeCells count="19">
    <mergeCell ref="C3:D3"/>
    <mergeCell ref="E3:F3"/>
    <mergeCell ref="C4:D4"/>
    <mergeCell ref="I4:O4"/>
    <mergeCell ref="P4:V4"/>
    <mergeCell ref="W4:AC4"/>
    <mergeCell ref="AD4:AJ4"/>
    <mergeCell ref="AK4:AQ4"/>
    <mergeCell ref="AR4:AX4"/>
    <mergeCell ref="AY4:BE4"/>
    <mergeCell ref="BF4:BL4"/>
    <mergeCell ref="BM4:BS4"/>
    <mergeCell ref="BT4:BZ4"/>
    <mergeCell ref="CA4:CG4"/>
    <mergeCell ref="CH4:CN4"/>
    <mergeCell ref="CO4:CU4"/>
    <mergeCell ref="CV4:DB4"/>
    <mergeCell ref="DC4:DI4"/>
    <mergeCell ref="DJ4:DP4"/>
  </mergeCells>
  <conditionalFormatting sqref="D11:D30 D7:D8">
    <cfRule type="dataBar" priority="2">
      <dataBar showValue="1" minLength="10" maxLength="90">
        <cfvo type="num" val="0"/>
        <cfvo type="num" val="1"/>
        <color rgb="FFBFBFBF"/>
      </dataBar>
      <extLst>
        <ext xmlns:x14="http://schemas.microsoft.com/office/spreadsheetml/2009/9/main" uri="{B025F937-C7B1-47D3-B67F-A62EFF666E3E}">
          <x14:id>{975A15B3-3037-4C1A-AA4F-D0D630A3F252}</x14:id>
        </ext>
      </extLst>
    </cfRule>
  </conditionalFormatting>
  <conditionalFormatting sqref="I11:DP30 I7:DP8">
    <cfRule type="expression" priority="3" aboveAverage="0" equalAverage="0" bottom="0" percent="0" rank="0" text="" dxfId="0">
      <formula>AND(task_start&lt;=I$5,ROUNDDOWN((task_end-task_start+1)*task_progress,0)+task_start-1&gt;=I$5)</formula>
    </cfRule>
    <cfRule type="expression" priority="4" aboveAverage="0" equalAverage="0" bottom="0" percent="0" rank="0" text="" dxfId="1">
      <formula>AND(task_end&gt;=I$5,task_start&lt;J$5)</formula>
    </cfRule>
  </conditionalFormatting>
  <conditionalFormatting sqref="I11:DP30 I5:DP8">
    <cfRule type="expression" priority="5" aboveAverage="0" equalAverage="0" bottom="0" percent="0" rank="0" text="" dxfId="2">
      <formula>AND(TODAY()&gt;=I$5,TODAY()&lt;J$5)</formula>
    </cfRule>
  </conditionalFormatting>
  <conditionalFormatting sqref="D9:D10">
    <cfRule type="dataBar" priority="6">
      <dataBar showValue="1" minLength="10" maxLength="90">
        <cfvo type="num" val="0"/>
        <cfvo type="num" val="1"/>
        <color rgb="FFBFBFBF"/>
      </dataBar>
      <extLst>
        <ext xmlns:x14="http://schemas.microsoft.com/office/spreadsheetml/2009/9/main" uri="{B025F937-C7B1-47D3-B67F-A62EFF666E3E}">
          <x14:id>{8DAC601B-5EEE-4533-A06B-4699D566CDD1}</x14:id>
        </ext>
      </extLst>
    </cfRule>
  </conditionalFormatting>
  <conditionalFormatting sqref="I9:DP10">
    <cfRule type="expression" priority="7" aboveAverage="0" equalAverage="0" bottom="0" percent="0" rank="0" text="" dxfId="0">
      <formula>AND(task_start&lt;=I$5,ROUNDDOWN((task_end-task_start+1)*task_progress,0)+task_start-1&gt;=I$5)</formula>
    </cfRule>
    <cfRule type="expression" priority="8" aboveAverage="0" equalAverage="0" bottom="0" percent="0" rank="0" text="" dxfId="1">
      <formula>AND(task_end&gt;=I$5,task_start&lt;J$5)</formula>
    </cfRule>
    <cfRule type="expression" priority="9" aboveAverage="0" equalAverage="0" bottom="0" percent="0" rank="0" text="" dxfId="2">
      <formula>AND(TODAY()&gt;=I$5,TODAY()&lt;J$5)</formula>
    </cfRule>
  </conditionalFormatting>
  <dataValidations count="1">
    <dataValidation allowBlank="true" errorStyle="stop" operator="greaterThanOrEqual" prompt="Das Ändern dieser Zahl bewirkt ein Scrollen in der Gantt-Diagrammansicht." promptTitle="Woche anzeigen" showDropDown="false" showErrorMessage="false" showInputMessage="true" sqref="E4" type="whole">
      <formula1>1</formula1>
      <formula2>0</formula2>
    </dataValidation>
  </dataValidations>
  <printOptions headings="false" gridLines="false" gridLinesSet="true" horizontalCentered="true" verticalCentered="false"/>
  <pageMargins left="0.35" right="0.35" top="0.35" bottom="0.347222222222222" header="0.511811023622047" footer="0.3"/>
  <pageSetup paperSize="9"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extLst>
    <ext xmlns:x14="http://schemas.microsoft.com/office/spreadsheetml/2009/9/main" uri="{78C0D931-6437-407d-A8EE-F0AAD7539E65}">
      <x14:conditionalFormattings>
        <x14:conditionalFormatting xmlns:xm="http://schemas.microsoft.com/office/excel/2006/main">
          <x14:cfRule type="dataBar" id="{975A15B3-3037-4C1A-AA4F-D0D630A3F252}">
            <x14:dataBar minLength="10" maxLength="90" axisPosition="automatic" gradient="false">
              <x14:cfvo type="num">
                <xm:f>0</xm:f>
              </x14:cfvo>
              <x14:cfvo type="num">
                <xm:f>1</xm:f>
              </x14:cfvo>
              <x14:negativeFillColor rgb="FFFF0000"/>
              <x14:axisColor rgb="FF000000"/>
            </x14:dataBar>
          </x14:cfRule>
          <xm:sqref>D11:D30 D7:D8</xm:sqref>
        </x14:conditionalFormatting>
        <x14:conditionalFormatting xmlns:xm="http://schemas.microsoft.com/office/excel/2006/main">
          <x14:cfRule type="dataBar" id="{8DAC601B-5EEE-4533-A06B-4699D566CDD1}">
            <x14:dataBar minLength="10" maxLength="90" axisPosition="automatic" gradient="false">
              <x14:cfvo type="num">
                <xm:f>0</xm:f>
              </x14:cfvo>
              <x14:cfvo type="num">
                <xm:f>1</xm:f>
              </x14:cfvo>
              <x14:negativeFillColor rgb="FFFF0000"/>
              <x14:axisColor rgb="FF000000"/>
            </x14:dataBar>
          </x14:cfRule>
          <xm:sqref>D9:D10</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9.14453125" defaultRowHeight="12.75" zeroHeight="false" outlineLevelRow="0" outlineLevelCol="0"/>
  <cols>
    <col collapsed="false" customWidth="true" hidden="false" outlineLevel="0" max="1" min="1" style="134" width="104.72"/>
    <col collapsed="false" customWidth="false" hidden="false" outlineLevel="0" max="16384" min="2" style="7" width="9.14"/>
  </cols>
  <sheetData>
    <row r="1" customFormat="false" ht="46.5" hidden="false" customHeight="true" outlineLevel="0" collapsed="false"/>
    <row r="2" s="136" customFormat="true" ht="17.9" hidden="false" customHeight="false" outlineLevel="0" collapsed="false">
      <c r="A2" s="135" t="s">
        <v>53</v>
      </c>
      <c r="B2" s="135"/>
    </row>
    <row r="3" s="139" customFormat="true" ht="27" hidden="false" customHeight="true" outlineLevel="0" collapsed="false">
      <c r="A3" s="137" t="s">
        <v>54</v>
      </c>
      <c r="B3" s="138"/>
    </row>
    <row r="4" s="141" customFormat="true" ht="24.45" hidden="false" customHeight="false" outlineLevel="0" collapsed="false">
      <c r="A4" s="140" t="s">
        <v>55</v>
      </c>
    </row>
    <row r="5" customFormat="false" ht="73.5" hidden="false" customHeight="true" outlineLevel="0" collapsed="false">
      <c r="A5" s="142" t="s">
        <v>56</v>
      </c>
    </row>
    <row r="6" customFormat="false" ht="26.25" hidden="false" customHeight="true" outlineLevel="0" collapsed="false">
      <c r="A6" s="140" t="s">
        <v>57</v>
      </c>
    </row>
    <row r="7" s="134" customFormat="true" ht="204.75" hidden="false" customHeight="true" outlineLevel="0" collapsed="false">
      <c r="A7" s="143" t="s">
        <v>58</v>
      </c>
    </row>
    <row r="8" s="141" customFormat="true" ht="24.45" hidden="false" customHeight="false" outlineLevel="0" collapsed="false">
      <c r="A8" s="140" t="s">
        <v>59</v>
      </c>
    </row>
    <row r="9" customFormat="false" ht="60" hidden="false" customHeight="true" outlineLevel="0" collapsed="false">
      <c r="A9" s="142" t="s">
        <v>60</v>
      </c>
    </row>
    <row r="10" s="134" customFormat="true" ht="27.75" hidden="false" customHeight="true" outlineLevel="0" collapsed="false">
      <c r="A10" s="144" t="s">
        <v>61</v>
      </c>
    </row>
    <row r="11" s="141" customFormat="true" ht="24.45" hidden="false" customHeight="false" outlineLevel="0" collapsed="false">
      <c r="A11" s="140" t="s">
        <v>62</v>
      </c>
    </row>
    <row r="12" customFormat="false" ht="30" hidden="false" customHeight="true" outlineLevel="0" collapsed="false">
      <c r="A12" s="142" t="s">
        <v>63</v>
      </c>
    </row>
    <row r="13" s="134" customFormat="true" ht="27.75" hidden="false" customHeight="true" outlineLevel="0" collapsed="false">
      <c r="A13" s="144" t="s">
        <v>64</v>
      </c>
    </row>
    <row r="14" s="141" customFormat="true" ht="24.45" hidden="false" customHeight="false" outlineLevel="0" collapsed="false">
      <c r="A14" s="140" t="s">
        <v>65</v>
      </c>
    </row>
    <row r="15" customFormat="false" ht="75" hidden="false" customHeight="true" outlineLevel="0" collapsed="false">
      <c r="A15" s="142" t="s">
        <v>66</v>
      </c>
    </row>
    <row r="16" customFormat="false" ht="75" hidden="false" customHeight="true" outlineLevel="0" collapsed="false">
      <c r="A16" s="142" t="s">
        <v>67</v>
      </c>
    </row>
  </sheetData>
  <hyperlinks>
    <hyperlink ref="A2" r:id="rId1" display="EINFACHES GANTT-DIAGRAMM von Vertex42.com"/>
    <hyperlink ref="A3" r:id="rId2" display="https://www.vertex42.com/ExcelTemplates/simple-gantt-chart.html"/>
    <hyperlink ref="A10" r:id="rId3" display="Verwenden des einfachen Gantt-Diagramms"/>
    <hyperlink ref="A13" r:id="rId4" display="Projektmanagementvorlagen"/>
  </hyperlinks>
  <printOptions headings="false" gridLines="false" gridLinesSet="true" horizontalCentered="false" verticalCentered="false"/>
  <pageMargins left="0.5" right="0.5" top="0.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TotalTime>37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2021-12-14T20:18:50Z</dcterms:created>
  <dc:creator/>
  <dc:description/>
  <dc:language>de-DE</dc:language>
  <cp:lastModifiedBy/>
  <dcterms:modified xsi:type="dcterms:W3CDTF">2025-10-28T14:41:32Z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